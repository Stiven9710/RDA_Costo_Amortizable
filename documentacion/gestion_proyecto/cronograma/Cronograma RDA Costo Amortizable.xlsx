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undaciongruposocialco-my.sharepoint.com/personal/jelozanog_fgs_co/Documents/Escritorio/"/>
    </mc:Choice>
  </mc:AlternateContent>
  <xr:revisionPtr revIDLastSave="0" documentId="8_{98DEA933-0252-4B6E-AF09-3C5954E08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 BCS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">'[1]Scenario Criteria'!$A$32:$A$33</definedName>
    <definedName name="accountableWorkstream">[2]List!$S$2:$S$48</definedName>
    <definedName name="ACCRU">#REF!</definedName>
    <definedName name="acct">[3]Sheet1!$A$3:$A$23</definedName>
    <definedName name="ACRU">#REF!</definedName>
    <definedName name="allocation">[2]List!$J$2:$J$13</definedName>
    <definedName name="Allow_Exp">'[1]Scenario Criteria'!$A$22:$A$24</definedName>
    <definedName name="b">'[1]Scenario Criteria'!$A$38:$A$40</definedName>
    <definedName name="Baseyear">[4]Parameters!#REF!</definedName>
    <definedName name="Ben_Death">'[1]Scenario Criteria'!$A$26:$A$27</definedName>
    <definedName name="Ben_Grant">#REF!</definedName>
    <definedName name="Ben_Maturity">'[1]Scenario Criteria'!$A$32:$A$33</definedName>
    <definedName name="Ben_Other">'[1]Scenario Criteria'!$A$38:$A$40</definedName>
    <definedName name="Ben_Surrender">'[1]Scenario Criteria'!$A$29:$A$30</definedName>
    <definedName name="BETA">#REF!</definedName>
    <definedName name="BRP">#REF!</definedName>
    <definedName name="Budget_AXIS">#REF!</definedName>
    <definedName name="Budget_Cash">#REF!</definedName>
    <definedName name="cb">'[1]Scenario Criteria'!$A$16:$A$17</definedName>
    <definedName name="cf">'[1]Scenario Criteria'!$A$13:$A$14</definedName>
    <definedName name="Comm_Bonus">'[1]Scenario Criteria'!$A$16:$A$17</definedName>
    <definedName name="Comm_FY">'[1]Scenario Criteria'!$A$13:$A$14</definedName>
    <definedName name="Comm_Ren">'[1]Scenario Criteria'!$A$19:$A$20</definedName>
    <definedName name="confidentialAccess">[2]List!$C$2:$C$3</definedName>
    <definedName name="Contracts_Inforce">'[1]Scenario Criteria'!$A$51:$A$52</definedName>
    <definedName name="Contracts_NB">'[1]Scenario Criteria'!$A$63:$A$64</definedName>
    <definedName name="Counter">#REF!</definedName>
    <definedName name="cr">'[1]Scenario Criteria'!$A$19:$A$20</definedName>
    <definedName name="Face_Inforce">'[1]Scenario Criteria'!$A$57:$A$58</definedName>
    <definedName name="FBE1M">#REF!</definedName>
    <definedName name="FBE2M">#REF!</definedName>
    <definedName name="FBE4M">#REF!</definedName>
    <definedName name="fi">'[1]Scenario Criteria'!$A$57:$A$58</definedName>
    <definedName name="FPM1M">#REF!</definedName>
    <definedName name="FPM2M">#REF!</definedName>
    <definedName name="FPM4M">#REF!</definedName>
    <definedName name="frequencyAndDirection">[2]List!$I$2:$I$5</definedName>
    <definedName name="FROI1M">#REF!</definedName>
    <definedName name="FROI2M">#REF!</definedName>
    <definedName name="FROI4M">#REF!</definedName>
    <definedName name="Fund">#REF!</definedName>
    <definedName name="GCO">[5]ListaProcesos!$A$89:$A$143</definedName>
    <definedName name="ii">'[1]Scenario Criteria'!$A$9:$A$11</definedName>
    <definedName name="Inc_Reserves">'[1]Scenario Criteria'!$A$45:$A$46</definedName>
    <definedName name="intercoint">#REF!</definedName>
    <definedName name="intercopnl">#REF!</definedName>
    <definedName name="Inv_Inc">'[1]Scenario Criteria'!$A$9:$A$11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EXPENSE_CODE_" hidden="1">"7780MV"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43671.8670138888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r">'[1]Scenario Criteria'!$A$45:$A$46</definedName>
    <definedName name="level1">'[6]SALARY SCALES'!$A$3:$A$39</definedName>
    <definedName name="lvl">#REF!</definedName>
    <definedName name="MBE1M">#REF!</definedName>
    <definedName name="MBE2M">#REF!</definedName>
    <definedName name="MBE4M">#REF!</definedName>
    <definedName name="metric">[2]List!$K$2:$K$29</definedName>
    <definedName name="MPM1M">#REF!</definedName>
    <definedName name="MPM2M">#REF!</definedName>
    <definedName name="MPM4M">#REF!</definedName>
    <definedName name="MROI1M">#REF!</definedName>
    <definedName name="MROI2M">#REF!</definedName>
    <definedName name="MROI4M">#REF!</definedName>
    <definedName name="nb">'[1]Scenario Criteria'!$A$63:$A$64</definedName>
    <definedName name="NB_CI">[1]NB_CI!$A$1:$P$53</definedName>
    <definedName name="NB_IA">[1]NB_IA!$A$1:$P$53</definedName>
    <definedName name="NB_LUMPSUMS">[1]NB_LUMPSUMS!$A$1:$P$53</definedName>
    <definedName name="NB_OMNI_Educator">[1]NB_OMNI_Educator!$A$1:$P$53</definedName>
    <definedName name="NB_OMNI7">[1]NB_OMNI7!$A$1:$P$53</definedName>
    <definedName name="NB_PV">[1]NB_PV!$A$1:$P$53</definedName>
    <definedName name="NB_UL">[1]NB_UL!$A$1:$P$53</definedName>
    <definedName name="NBiz">[7]NB_OMNI_Educator!#REF!</definedName>
    <definedName name="nc">[1]NB_CI!$A$1:$P$53</definedName>
    <definedName name="new">[8]Sheet1!$A$3:$A$23</definedName>
    <definedName name="Period">#REF!</definedName>
    <definedName name="Prem_Inforce">'[1]Scenario Criteria'!$A$54:$A$55</definedName>
    <definedName name="Prem_NB">'[1]Scenario Criteria'!$A$66:$A$67</definedName>
    <definedName name="Prem_Tax">'[1]Scenario Criteria'!$A$42:$A$43</definedName>
    <definedName name="Prod_Profits">'[1]Scenario Criteria'!$A$48:$A$49</definedName>
    <definedName name="Reg_Prem_FY">'[1]Scenario Criteria'!$A$2:$A$4</definedName>
    <definedName name="Reg_Prem_Ren">'[1]Scenario Criteria'!$A$6:$A$7</definedName>
    <definedName name="repodetail">#REF!</definedName>
    <definedName name="Reserves">'[1]Scenario Criteria'!$A$60:$A$61</definedName>
    <definedName name="RFR">#REF!</definedName>
    <definedName name="s">'[1]Scenario Criteria'!$A$29:$A$30</definedName>
    <definedName name="sched1a">#REF!</definedName>
    <definedName name="sched1b">#REF!</definedName>
    <definedName name="Soporte">[9]Qué_es_Hito!$C$3:$C$8</definedName>
    <definedName name="stage">[2]List!$E$2:$E$12</definedName>
    <definedName name="TipoHito">[9]Qué_es_Hito!$B$3:$B$5</definedName>
    <definedName name="_xlnm.Print_Titles" localSheetId="0">'CRONOGRAMA BCS'!$2:$2</definedName>
    <definedName name="Unit">'[1]Scenario Criteria'!$F$1</definedName>
    <definedName name="weeklyStatus">[2]List!$B$2:$B$6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0" roundtripDataSignature="AMtx7mgY5gYr72b6Yy0AkacTiByv8UzojA=="/>
    </ext>
  </extLst>
</workbook>
</file>

<file path=xl/calcChain.xml><?xml version="1.0" encoding="utf-8"?>
<calcChain xmlns="http://schemas.openxmlformats.org/spreadsheetml/2006/main">
  <c r="F108" i="9" l="1"/>
  <c r="F103" i="9"/>
  <c r="F98" i="9"/>
  <c r="F93" i="9"/>
  <c r="F88" i="9"/>
  <c r="F83" i="9"/>
  <c r="F78" i="9"/>
  <c r="F14" i="9"/>
  <c r="B14" i="9"/>
  <c r="F11" i="9"/>
  <c r="F45" i="9"/>
  <c r="B45" i="9"/>
  <c r="F36" i="9"/>
  <c r="F10" i="9"/>
  <c r="B10" i="9"/>
  <c r="F3" i="9"/>
  <c r="F35" i="9" l="1"/>
  <c r="B67" i="9"/>
  <c r="F60" i="9"/>
  <c r="B60" i="9"/>
  <c r="B35" i="9"/>
  <c r="F21" i="9"/>
  <c r="B21" i="9"/>
  <c r="B28" i="9"/>
  <c r="F28" i="9"/>
  <c r="F61" i="9"/>
  <c r="F46" i="9"/>
  <c r="F22" i="9"/>
  <c r="F15" i="9"/>
  <c r="F29" i="9"/>
  <c r="F67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M2G6R6I9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M2G6R6I9:
</t>
        </r>
        <r>
          <rPr>
            <sz val="9"/>
            <color indexed="81"/>
            <rFont val="Tahoma"/>
            <charset val="1"/>
          </rPr>
          <t>porcentaje de avance por cada una de las tareas</t>
        </r>
      </text>
    </comment>
    <comment ref="E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M2G6R6I9:</t>
        </r>
        <r>
          <rPr>
            <sz val="9"/>
            <color indexed="81"/>
            <rFont val="Tahoma"/>
            <charset val="1"/>
          </rPr>
          <t xml:space="preserve">
Detallar los roles que participarían</t>
        </r>
      </text>
    </comment>
    <comment ref="F2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M2G6R6I9:</t>
        </r>
        <r>
          <rPr>
            <sz val="9"/>
            <color indexed="81"/>
            <rFont val="Tahoma"/>
            <charset val="1"/>
          </rPr>
          <t xml:space="preserve">
Duración en horas de cada actividad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M2G6R6I9:</t>
        </r>
        <r>
          <rPr>
            <sz val="9"/>
            <color indexed="81"/>
            <rFont val="Tahoma"/>
            <charset val="1"/>
          </rPr>
          <t xml:space="preserve">
Duración o sprint se definirá según cumplimiento de actividades previas y su  secuencia
</t>
        </r>
      </text>
    </comment>
    <comment ref="A4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M2G6R6I9:</t>
        </r>
        <r>
          <rPr>
            <sz val="9"/>
            <color indexed="81"/>
            <rFont val="Tahoma"/>
            <family val="2"/>
          </rPr>
          <t xml:space="preserve">
En caso que aplique, sino se omite</t>
        </r>
      </text>
    </comment>
    <comment ref="A5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M2G6R6I9:</t>
        </r>
        <r>
          <rPr>
            <sz val="9"/>
            <color indexed="81"/>
            <rFont val="Tahoma"/>
            <family val="2"/>
          </rPr>
          <t xml:space="preserve">
Se debe validar por sprint cuando se ejecutan las pruebas</t>
        </r>
      </text>
    </comment>
  </commentList>
</comments>
</file>

<file path=xl/sharedStrings.xml><?xml version="1.0" encoding="utf-8"?>
<sst xmlns="http://schemas.openxmlformats.org/spreadsheetml/2006/main" count="502" uniqueCount="118">
  <si>
    <t xml:space="preserve">CRONOGRAMA DE AUTOMATIZACIÓN ROBÓTICA DE PROCESOS </t>
  </si>
  <si>
    <t>AUTOMATIZACIÓN ROBÓTICA DE PROCESOS INICIATIVA: -Nombre del proceso a Automatizar 
-Número de iniciativa</t>
  </si>
  <si>
    <t>% COMPLETADO</t>
  </si>
  <si>
    <t>FECHA INICIO</t>
  </si>
  <si>
    <t>FECHA FIN</t>
  </si>
  <si>
    <t>RESPONSABLES</t>
  </si>
  <si>
    <t>DURACIÓN (HORAS)</t>
  </si>
  <si>
    <t>SPRINT</t>
  </si>
  <si>
    <t xml:space="preserve">Prerequisitos </t>
  </si>
  <si>
    <t xml:space="preserve"> Identificar aplicaciones, usuarios, accesos y permisos requeridos para  el proceso</t>
  </si>
  <si>
    <t>dd/mm/aaaa</t>
  </si>
  <si>
    <t>xxxxx</t>
  </si>
  <si>
    <t>hh</t>
  </si>
  <si>
    <t xml:space="preserve"> Identificar los ambientes previos de los prerequisitos y  las aplicaciones livianas, escalamiento y responsables </t>
  </si>
  <si>
    <t xml:space="preserve">Solicitar para cuenta orquestadora no productiva,  permisos de acceso a los aplicativos y máquina virtual de QA </t>
  </si>
  <si>
    <t xml:space="preserve"> Gestionar accesos a los ambientes, aplicaciones, usuarios, accesos y permisos requeridos para  el proceso</t>
  </si>
  <si>
    <t>Validación y gestión con torre de control de compras</t>
  </si>
  <si>
    <t xml:space="preserve">Gestionar Licencias para desarrollador </t>
  </si>
  <si>
    <t xml:space="preserve">        Prerequisitos gestionados </t>
  </si>
  <si>
    <t xml:space="preserve"> día dd/mm/aa</t>
  </si>
  <si>
    <t>XXXXX</t>
  </si>
  <si>
    <t xml:space="preserve">Alistamiento de Insumos y Certificación de Insumos </t>
  </si>
  <si>
    <t xml:space="preserve">Preparar y entregar insumos </t>
  </si>
  <si>
    <t xml:space="preserve">Validar y certificar insumos recibidos </t>
  </si>
  <si>
    <t xml:space="preserve">         Insumos certificados </t>
  </si>
  <si>
    <t>Arquitectura asistente virtual</t>
  </si>
  <si>
    <t xml:space="preserve"> Definir arquitectura para el "asistente virtual" y generar documento </t>
  </si>
  <si>
    <t xml:space="preserve">Definir arquitectura de seguridad y vulnerabilidades </t>
  </si>
  <si>
    <t xml:space="preserve">Validar arquitectura y documento "xxxxxxxx" </t>
  </si>
  <si>
    <t xml:space="preserve">Realizar ajustes al documento de "xxxxxxxx" </t>
  </si>
  <si>
    <t>Certificar y aprobar documento "xxxxxxxx"</t>
  </si>
  <si>
    <t xml:space="preserve">        Arquitectura validada y aprobada </t>
  </si>
  <si>
    <t xml:space="preserve">Documentación Funcional </t>
  </si>
  <si>
    <t>Crear Documentación PDD "xxxxxxxx" (proceso impactado)</t>
  </si>
  <si>
    <t>Responsable CE</t>
  </si>
  <si>
    <t xml:space="preserve"> Validar documento "xxxxxxxx" con usuarios</t>
  </si>
  <si>
    <t xml:space="preserve"> Validar documento "xxxxxxxx" con equipo técnico</t>
  </si>
  <si>
    <t>Realizar ajustes al documento de "xxxxxxxx" (si aplica)</t>
  </si>
  <si>
    <t>Aprobar documento "xxxxxxxx"</t>
  </si>
  <si>
    <t xml:space="preserve">        Documentación finalizada</t>
  </si>
  <si>
    <t xml:space="preserve"> Diseño Técnico </t>
  </si>
  <si>
    <t xml:space="preserve"> Validar documento "xxxxxxxx" con equipo funcional, usuario y centro de Excelencia</t>
  </si>
  <si>
    <t xml:space="preserve"> Aprobar documento "xxxxxxxx"</t>
  </si>
  <si>
    <t xml:space="preserve">         Diseño Aprobado </t>
  </si>
  <si>
    <t>Infraestructura asistente virtual</t>
  </si>
  <si>
    <t>Estimar infraestructura requerida (licencias power automate / add on / máquinas virtuales / licencias office 365 / BD)</t>
  </si>
  <si>
    <t>Socializar requerimientos de infraestructura UAC TI</t>
  </si>
  <si>
    <t>Solicitar infraestructura a la UAC TI</t>
  </si>
  <si>
    <t xml:space="preserve">Gestionar infraestructura </t>
  </si>
  <si>
    <t xml:space="preserve">     Habilitar infraestructura desarrollo</t>
  </si>
  <si>
    <t xml:space="preserve">     Habilitar infraestructura QA</t>
  </si>
  <si>
    <t xml:space="preserve">     Habilitar infraestructura producción</t>
  </si>
  <si>
    <t>Solicitar creación máquina virtual para producción</t>
  </si>
  <si>
    <t>Desarrollo asistente virtual (Proceso impactado)</t>
  </si>
  <si>
    <t>Funcionalidad 1</t>
  </si>
  <si>
    <t>Sprint X</t>
  </si>
  <si>
    <t>Funcionalidad 2</t>
  </si>
  <si>
    <t>Funcionalidad 3</t>
  </si>
  <si>
    <t>Creación estructura base cloud</t>
  </si>
  <si>
    <t xml:space="preserve"> Pruebas unitarias en desarrollo</t>
  </si>
  <si>
    <t>Validación y estructura de insumos (Carpetas y Archivos)</t>
  </si>
  <si>
    <t>Creación estructura base desktop</t>
  </si>
  <si>
    <t>Creación flujos maestros</t>
  </si>
  <si>
    <t>Revisión de código</t>
  </si>
  <si>
    <t>Documentación Software asistente virtual</t>
  </si>
  <si>
    <t>Pruebas Unitarias</t>
  </si>
  <si>
    <t>Pruebas integrales con el usuario DEV</t>
  </si>
  <si>
    <t xml:space="preserve">        Desarrollo</t>
  </si>
  <si>
    <t>Pruebas en QA</t>
  </si>
  <si>
    <t xml:space="preserve">Creación set de pruebas </t>
  </si>
  <si>
    <t xml:space="preserve">Pruebas Funcionales con el usuario </t>
  </si>
  <si>
    <t>Certificación de funcionalidades</t>
  </si>
  <si>
    <t>Presentación del RPA en comité de liberación para paso a producción</t>
  </si>
  <si>
    <t>Entrega de componentes para despliegue equipo de QA</t>
  </si>
  <si>
    <t xml:space="preserve">        Pruebas realizadas y certificadas </t>
  </si>
  <si>
    <t xml:space="preserve">Paso a producción </t>
  </si>
  <si>
    <t>Acompañamiento en proceso de despliegue ambiente de PRD</t>
  </si>
  <si>
    <t>Configuración de máquina acorde al despliegue PRD</t>
  </si>
  <si>
    <t>Capacitación usuario funcional</t>
  </si>
  <si>
    <t>Producción controlada</t>
  </si>
  <si>
    <t>Garantía</t>
  </si>
  <si>
    <t xml:space="preserve">Acompañamiento </t>
  </si>
  <si>
    <t>Entrega a la operación</t>
  </si>
  <si>
    <t>Identificación de Beneficios- (Proceso impactado)</t>
  </si>
  <si>
    <t>Identificación y socialización beneficio (indicador)</t>
  </si>
  <si>
    <t xml:space="preserve">         Beneficio identificado </t>
  </si>
  <si>
    <t>Documentación Proceso (Proceso impactado)</t>
  </si>
  <si>
    <t xml:space="preserve"> KPIS del nuevo proceso definidos y medidos</t>
  </si>
  <si>
    <t>Actualización documentación de proceso</t>
  </si>
  <si>
    <t xml:space="preserve">Diligenciamiento formato Liderazgo Consultativo </t>
  </si>
  <si>
    <t xml:space="preserve">         KPIS y Procesos Aprobados y Publicados</t>
  </si>
  <si>
    <t>SARO (Proceso impactado)</t>
  </si>
  <si>
    <t xml:space="preserve"> Socialización cambios en el proceso con el equipo SARO</t>
  </si>
  <si>
    <t xml:space="preserve"> Identificación de impactos en Mapa de Riesgo</t>
  </si>
  <si>
    <t>Ajuste Mapa de Riesgo</t>
  </si>
  <si>
    <t xml:space="preserve">  Mapa SARO actualizado </t>
  </si>
  <si>
    <t>Gestión de Cambio</t>
  </si>
  <si>
    <t xml:space="preserve"> Socialización de la iniciativa y del proceso con Gestión de Cambio </t>
  </si>
  <si>
    <t xml:space="preserve"> Planeación sesión de Gestión de Cambio</t>
  </si>
  <si>
    <t>Sesión de Gestión de Cambio</t>
  </si>
  <si>
    <t xml:space="preserve"> Gestión de Cambio Realizada</t>
  </si>
  <si>
    <t>Capacitación (Proceso impactado)</t>
  </si>
  <si>
    <t xml:space="preserve">Socialización de la iniciativa y del proceso con áreas impactadas y capacitación </t>
  </si>
  <si>
    <t xml:space="preserve"> Planeación capacitación requerida</t>
  </si>
  <si>
    <t xml:space="preserve"> Capacitación a Colaboradores</t>
  </si>
  <si>
    <t>Colaboradores Capacitados</t>
  </si>
  <si>
    <t>Comunicación</t>
  </si>
  <si>
    <t xml:space="preserve"> Socialización de la iniciativa y del proceso con comunicaciones internas</t>
  </si>
  <si>
    <t xml:space="preserve"> Planeación comunicación requerida</t>
  </si>
  <si>
    <t xml:space="preserve"> Comunicación a Colaboradores</t>
  </si>
  <si>
    <t>Colaboradores Comunicados</t>
  </si>
  <si>
    <t xml:space="preserve">Reorganización Actividades </t>
  </si>
  <si>
    <t xml:space="preserve"> Diagnóstico organización actividades actual</t>
  </si>
  <si>
    <t xml:space="preserve"> Diseño organización de actividades mejorado</t>
  </si>
  <si>
    <t>Aprobación diseño organización de actividades mejorado</t>
  </si>
  <si>
    <t xml:space="preserve">Implementación </t>
  </si>
  <si>
    <t xml:space="preserve">   H. Proyecto finalizado</t>
  </si>
  <si>
    <t>PHU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</si>
</sst>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ajor"/>
    </font>
    <font>
      <b/>
      <sz val="11"/>
      <color rgb="FFFFFFFF"/>
      <name val="Calibri"/>
      <family val="2"/>
      <scheme val="major"/>
    </font>
    <font>
      <sz val="11"/>
      <color rgb="FF000000"/>
      <name val="Calibri"/>
      <family val="2"/>
      <scheme val="major"/>
    </font>
    <font>
      <b/>
      <i/>
      <sz val="11"/>
      <color rgb="FF002060"/>
      <name val="Calibri"/>
      <family val="2"/>
      <scheme val="major"/>
    </font>
    <font>
      <b/>
      <sz val="11"/>
      <color rgb="FF002060"/>
      <name val="Calibri"/>
      <family val="2"/>
      <scheme val="major"/>
    </font>
    <font>
      <b/>
      <u/>
      <sz val="11"/>
      <color rgb="FFFFFFFF"/>
      <name val="Calibri"/>
      <family val="2"/>
      <scheme val="major"/>
    </font>
    <font>
      <b/>
      <sz val="11"/>
      <color rgb="FF000000"/>
      <name val="Calibri"/>
      <family val="2"/>
      <scheme val="major"/>
    </font>
    <font>
      <b/>
      <sz val="14"/>
      <color theme="0"/>
      <name val="Calibri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ajor"/>
    </font>
    <font>
      <b/>
      <sz val="18"/>
      <color theme="0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/>
      <bottom/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</borders>
  <cellStyleXfs count="13">
    <xf numFmtId="0" fontId="0" fillId="0" borderId="0"/>
    <xf numFmtId="0" fontId="4" fillId="0" borderId="0"/>
    <xf numFmtId="0" fontId="3" fillId="0" borderId="0"/>
    <xf numFmtId="0" fontId="2" fillId="0" borderId="0"/>
    <xf numFmtId="44" fontId="2" fillId="0" borderId="0" applyFont="0" applyFill="0" applyBorder="0" applyAlignment="0" applyProtection="0"/>
    <xf numFmtId="0" fontId="7" fillId="0" borderId="0"/>
    <xf numFmtId="0" fontId="5" fillId="0" borderId="2" applyNumberFormat="0" applyFill="0" applyAlignment="0" applyProtection="0"/>
    <xf numFmtId="0" fontId="2" fillId="0" borderId="0"/>
    <xf numFmtId="0" fontId="6" fillId="0" borderId="3" applyNumberFormat="0" applyFill="0" applyAlignment="0" applyProtection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11" fillId="0" borderId="0" xfId="12" applyFont="1"/>
    <xf numFmtId="0" fontId="13" fillId="2" borderId="1" xfId="12" applyFont="1" applyFill="1" applyBorder="1" applyAlignment="1">
      <alignment vertical="center" wrapText="1"/>
    </xf>
    <xf numFmtId="9" fontId="13" fillId="2" borderId="4" xfId="12" applyNumberFormat="1" applyFont="1" applyFill="1" applyBorder="1" applyAlignment="1">
      <alignment horizontal="center" vertical="center" wrapText="1"/>
    </xf>
    <xf numFmtId="14" fontId="13" fillId="2" borderId="1" xfId="12" applyNumberFormat="1" applyFont="1" applyFill="1" applyBorder="1" applyAlignment="1">
      <alignment horizontal="center" vertical="center" wrapText="1"/>
    </xf>
    <xf numFmtId="0" fontId="13" fillId="2" borderId="1" xfId="12" applyFont="1" applyFill="1" applyBorder="1" applyAlignment="1">
      <alignment horizontal="center" vertical="center" wrapText="1"/>
    </xf>
    <xf numFmtId="0" fontId="14" fillId="3" borderId="1" xfId="12" applyFont="1" applyFill="1" applyBorder="1" applyAlignment="1">
      <alignment horizontal="center" vertical="center" wrapText="1"/>
    </xf>
    <xf numFmtId="0" fontId="11" fillId="2" borderId="1" xfId="12" applyFont="1" applyFill="1" applyBorder="1" applyAlignment="1">
      <alignment horizontal="center" vertical="center" wrapText="1"/>
    </xf>
    <xf numFmtId="0" fontId="14" fillId="5" borderId="7" xfId="12" applyFont="1" applyFill="1" applyBorder="1" applyAlignment="1">
      <alignment vertical="center" wrapText="1"/>
    </xf>
    <xf numFmtId="9" fontId="14" fillId="5" borderId="1" xfId="12" applyNumberFormat="1" applyFont="1" applyFill="1" applyBorder="1" applyAlignment="1">
      <alignment horizontal="center" vertical="center" wrapText="1"/>
    </xf>
    <xf numFmtId="0" fontId="14" fillId="5" borderId="1" xfId="12" applyFont="1" applyFill="1" applyBorder="1" applyAlignment="1">
      <alignment horizontal="center" vertical="center" wrapText="1"/>
    </xf>
    <xf numFmtId="0" fontId="13" fillId="2" borderId="1" xfId="12" applyFont="1" applyFill="1" applyBorder="1" applyAlignment="1">
      <alignment horizontal="left" vertical="center" wrapText="1"/>
    </xf>
    <xf numFmtId="0" fontId="15" fillId="5" borderId="1" xfId="12" applyFont="1" applyFill="1" applyBorder="1" applyAlignment="1">
      <alignment horizontal="center" vertical="center" wrapText="1"/>
    </xf>
    <xf numFmtId="0" fontId="11" fillId="5" borderId="1" xfId="12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9" fontId="13" fillId="2" borderId="1" xfId="12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5" borderId="7" xfId="12" applyFont="1" applyFill="1" applyBorder="1" applyAlignment="1">
      <alignment vertical="center" wrapText="1"/>
    </xf>
    <xf numFmtId="0" fontId="14" fillId="5" borderId="1" xfId="12" applyFont="1" applyFill="1" applyBorder="1" applyAlignment="1">
      <alignment vertical="center" wrapText="1"/>
    </xf>
    <xf numFmtId="0" fontId="11" fillId="0" borderId="0" xfId="12" applyFont="1" applyAlignment="1">
      <alignment horizontal="center"/>
    </xf>
    <xf numFmtId="0" fontId="18" fillId="4" borderId="1" xfId="12" applyFont="1" applyFill="1" applyBorder="1" applyAlignment="1">
      <alignment horizontal="center" vertical="center" wrapText="1"/>
    </xf>
    <xf numFmtId="0" fontId="18" fillId="4" borderId="6" xfId="12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vertical="center" wrapText="1"/>
    </xf>
    <xf numFmtId="0" fontId="17" fillId="2" borderId="7" xfId="0" applyFont="1" applyFill="1" applyBorder="1" applyAlignment="1">
      <alignment vertical="center" wrapText="1"/>
    </xf>
    <xf numFmtId="0" fontId="12" fillId="6" borderId="5" xfId="12" applyFont="1" applyFill="1" applyBorder="1" applyAlignment="1">
      <alignment vertical="center" wrapText="1"/>
    </xf>
    <xf numFmtId="9" fontId="12" fillId="6" borderId="1" xfId="12" applyNumberFormat="1" applyFont="1" applyFill="1" applyBorder="1" applyAlignment="1">
      <alignment horizontal="center" vertical="center" wrapText="1"/>
    </xf>
    <xf numFmtId="14" fontId="12" fillId="6" borderId="1" xfId="12" applyNumberFormat="1" applyFont="1" applyFill="1" applyBorder="1" applyAlignment="1">
      <alignment horizontal="center" vertical="center" wrapText="1"/>
    </xf>
    <xf numFmtId="0" fontId="11" fillId="6" borderId="1" xfId="12" applyFont="1" applyFill="1" applyBorder="1" applyAlignment="1">
      <alignment horizontal="center" vertical="center" wrapText="1"/>
    </xf>
    <xf numFmtId="0" fontId="12" fillId="6" borderId="1" xfId="12" applyFont="1" applyFill="1" applyBorder="1" applyAlignment="1">
      <alignment horizontal="center" vertical="center" wrapText="1"/>
    </xf>
    <xf numFmtId="0" fontId="12" fillId="6" borderId="1" xfId="12" applyFont="1" applyFill="1" applyBorder="1" applyAlignment="1">
      <alignment vertical="center" wrapText="1"/>
    </xf>
    <xf numFmtId="0" fontId="16" fillId="6" borderId="1" xfId="12" applyFont="1" applyFill="1" applyBorder="1" applyAlignment="1">
      <alignment vertical="center" wrapText="1"/>
    </xf>
    <xf numFmtId="0" fontId="16" fillId="6" borderId="1" xfId="12" applyFont="1" applyFill="1" applyBorder="1" applyAlignment="1">
      <alignment horizontal="left" vertical="center" wrapText="1"/>
    </xf>
    <xf numFmtId="0" fontId="13" fillId="2" borderId="7" xfId="12" applyFont="1" applyFill="1" applyBorder="1" applyAlignment="1">
      <alignment vertical="center" wrapText="1"/>
    </xf>
    <xf numFmtId="0" fontId="21" fillId="2" borderId="1" xfId="12" applyFont="1" applyFill="1" applyBorder="1" applyAlignment="1">
      <alignment vertical="center" wrapText="1"/>
    </xf>
    <xf numFmtId="0" fontId="21" fillId="2" borderId="7" xfId="12" applyFont="1" applyFill="1" applyBorder="1" applyAlignment="1">
      <alignment vertical="center" wrapText="1"/>
    </xf>
    <xf numFmtId="9" fontId="14" fillId="6" borderId="1" xfId="12" applyNumberFormat="1" applyFont="1" applyFill="1" applyBorder="1" applyAlignment="1">
      <alignment horizontal="center" vertical="center" wrapText="1"/>
    </xf>
    <xf numFmtId="0" fontId="14" fillId="6" borderId="1" xfId="12" applyFont="1" applyFill="1" applyBorder="1" applyAlignment="1">
      <alignment horizontal="center" vertical="center" wrapText="1"/>
    </xf>
    <xf numFmtId="0" fontId="15" fillId="6" borderId="1" xfId="12" applyFont="1" applyFill="1" applyBorder="1" applyAlignment="1">
      <alignment horizontal="center" vertical="center" wrapText="1"/>
    </xf>
    <xf numFmtId="0" fontId="14" fillId="5" borderId="7" xfId="12" applyFont="1" applyFill="1" applyBorder="1" applyAlignment="1">
      <alignment horizontal="left" vertical="center" wrapText="1"/>
    </xf>
    <xf numFmtId="0" fontId="22" fillId="7" borderId="0" xfId="12" applyFont="1" applyFill="1" applyAlignment="1">
      <alignment horizontal="center" vertical="center"/>
    </xf>
  </cellXfs>
  <cellStyles count="13">
    <cellStyle name="Heading 1 2" xfId="6" xr:uid="{00000000-0005-0000-0000-000000000000}"/>
    <cellStyle name="Heading 3 2" xfId="8" xr:uid="{00000000-0005-0000-0000-000001000000}"/>
    <cellStyle name="Moneda 2" xfId="4" xr:uid="{00000000-0005-0000-0000-000002000000}"/>
    <cellStyle name="Moneda 2 2" xfId="10" xr:uid="{00000000-0005-0000-0000-000003000000}"/>
    <cellStyle name="Normal" xfId="0" builtinId="0"/>
    <cellStyle name="Normal 2" xfId="1" xr:uid="{00000000-0005-0000-0000-000005000000}"/>
    <cellStyle name="Normal 2 2" xfId="9" xr:uid="{00000000-0005-0000-0000-000006000000}"/>
    <cellStyle name="Normal 2 2 2" xfId="7" xr:uid="{00000000-0005-0000-0000-000007000000}"/>
    <cellStyle name="Normal 3" xfId="2" xr:uid="{00000000-0005-0000-0000-000008000000}"/>
    <cellStyle name="Normal 4" xfId="3" xr:uid="{00000000-0005-0000-0000-000009000000}"/>
    <cellStyle name="Normal 5" xfId="12" xr:uid="{00000000-0005-0000-0000-00000A000000}"/>
    <cellStyle name="Normal 6" xfId="5" xr:uid="{00000000-0005-0000-0000-00000B000000}"/>
    <cellStyle name="Porcentaje 2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26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5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0</xdr:col>
      <xdr:colOff>1733550</xdr:colOff>
      <xdr:row>0</xdr:row>
      <xdr:rowOff>781050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AE08A0-144B-7DF8-0BC7-4C7391B22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525"/>
          <a:ext cx="1714500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rfsrv\omni\FINANCE\Budget\Input%20NCBIC%20Business%20Plan%202004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ristian%20Freundt\Box%20Sync\Antamina%2020+\BUP%20Phase\2.%20Frente%20TO\0.%20Working%20folders\2.%20Christian%20F\20210114%20Wave2%20Data%20Upload%20Template%20-%20v24.5.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olungag\My%20Documents\BUDGET\2005-6\Documents%20and%20Settings\Cornwalls.JNCB\My%20Documents\List%20of%20Accoun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rfsrv\Omni\OMNI%20-%20Users\OMNI%20-%20Managers\Gladstone%20Johnson\Budget\2003\Budget2003(Revised)%202%20may%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9O6M5S2\AppData\Local\Microsoft\Windows\INetCache\Content.Outlook\DJ381O33\Copia%20de%20Procesos%20-%20Operaciones%20Cartera%20%20Abril%207-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olungag\My%20Documents\BUDGET\2005-6\NCBICWITCO20056Budget%20-%20CG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ients\Eckler\NCBIC\Reports\NCBIC%20ALL%20BUSINESS%20NEW%20AND%20INFORCE%20Plan%202005-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ornwalls.JNCB\My%20Documents\List%20of%20Accoun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RIANA\MK\Casos%20Negocio%20202205\Caso%20Venta%20Cruzada\L3%20Inciaitiva%20Venta%20Cruzada%20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Criteria"/>
      <sheetName val="PROVISION"/>
      <sheetName val="CRITICAL ILLNESS"/>
      <sheetName val="OMNI 7"/>
      <sheetName val="OMNI EDUCATOR"/>
      <sheetName val="UNIVERSAL LIFE"/>
      <sheetName val="IMMEDIATE ANNUITIES"/>
      <sheetName val="LUMPSUMS"/>
      <sheetName val="NB_OMNI7"/>
      <sheetName val="NB_CI"/>
      <sheetName val="NB_PV"/>
      <sheetName val="NB_IA"/>
      <sheetName val="NB_UL"/>
      <sheetName val="NB_OMNI_Educator"/>
      <sheetName val="NB_LUMPSU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Kinsey (upload instructions)"/>
      <sheetName val="Purpose"/>
      <sheetName val="Validate data"/>
      <sheetName val="import - Lookup-cards"/>
      <sheetName val="import - Lookup-attributes"/>
      <sheetName val="import - Lookup-attributeValues"/>
      <sheetName val="import - Time"/>
      <sheetName val="McKinsey-Validation"/>
      <sheetName val="User Map"/>
      <sheetName val="List"/>
      <sheetName val="LookUp"/>
      <sheetName val="Development backlog"/>
      <sheetName val="+Initiative"/>
      <sheetName val="+impact"/>
      <sheetName val="+KPI"/>
      <sheetName val="+Milestone"/>
      <sheetName val="+workstream action"/>
      <sheetName val="+docu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alance"/>
      <sheetName val="Reserves"/>
      <sheetName val="revised Reserves"/>
      <sheetName val="p&amp;l"/>
      <sheetName val="balsheet"/>
      <sheetName val="Revbud2003"/>
      <sheetName val="cflowA"/>
      <sheetName val="capex."/>
      <sheetName val="Productions"/>
      <sheetName val="Model "/>
      <sheetName val="Reps AS1"/>
      <sheetName val="Senior Advisors MS3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Planta"/>
      <sheetName val="ListaProcesos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cost input"/>
      <sheetName val="Expense Input"/>
      <sheetName val="Summary - Staff Cost"/>
      <sheetName val="SALARY SCAL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NEW BUSINESS"/>
      <sheetName val="PROVISION"/>
      <sheetName val="CRITICAL ILLNESS"/>
      <sheetName val="OMNI 7"/>
      <sheetName val="OMNI EDUCATOR"/>
      <sheetName val="UNIVERSAL LIFE"/>
      <sheetName val="LUMPSUMS"/>
      <sheetName val="NB_OMNI7"/>
      <sheetName val="NB_CI"/>
      <sheetName val="NB_PV"/>
      <sheetName val="NB_UL"/>
      <sheetName val="NB_OMNI_Educator"/>
      <sheetName val="ALL BUSI"/>
      <sheetName val="NB_LUMPSU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 estimado"/>
      <sheetName val="Cronograma Campañas"/>
      <sheetName val="Hitos"/>
      <sheetName val="Qué_es_Hito"/>
      <sheetName val="Iniciativas"/>
      <sheetName val="TblIniciativas"/>
      <sheetName val="KPI'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showGridLines="0"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6" sqref="H6"/>
    </sheetView>
  </sheetViews>
  <sheetFormatPr baseColWidth="10" defaultColWidth="9.140625" defaultRowHeight="15" x14ac:dyDescent="0.25"/>
  <cols>
    <col min="1" max="1" width="64.85546875" style="1" customWidth="1"/>
    <col min="2" max="2" width="19.140625" style="19" customWidth="1"/>
    <col min="3" max="4" width="16.42578125" style="19" customWidth="1"/>
    <col min="5" max="5" width="26.42578125" style="19" customWidth="1"/>
    <col min="6" max="7" width="17.140625" style="19" customWidth="1"/>
    <col min="8" max="8" width="15.42578125" style="19" bestFit="1" customWidth="1"/>
    <col min="9" max="16384" width="9.140625" style="1"/>
  </cols>
  <sheetData>
    <row r="1" spans="1:8" ht="64.5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</row>
    <row r="2" spans="1:8" ht="63" customHeight="1" x14ac:dyDescent="0.25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1" t="s">
        <v>117</v>
      </c>
      <c r="H2" s="21" t="s">
        <v>7</v>
      </c>
    </row>
    <row r="3" spans="1:8" x14ac:dyDescent="0.25">
      <c r="A3" s="29" t="s">
        <v>8</v>
      </c>
      <c r="B3" s="25"/>
      <c r="C3" s="26"/>
      <c r="D3" s="26"/>
      <c r="E3" s="27"/>
      <c r="F3" s="28" t="str">
        <f>CONCATENATE(SUM(F4:F7)," Horas")</f>
        <v>0 Horas</v>
      </c>
      <c r="G3" s="28"/>
      <c r="H3" s="27"/>
    </row>
    <row r="4" spans="1:8" ht="30" x14ac:dyDescent="0.25">
      <c r="A4" s="11" t="s">
        <v>9</v>
      </c>
      <c r="B4" s="3">
        <v>0</v>
      </c>
      <c r="C4" s="4" t="s">
        <v>10</v>
      </c>
      <c r="D4" s="4" t="s">
        <v>10</v>
      </c>
      <c r="E4" s="5" t="s">
        <v>11</v>
      </c>
      <c r="F4" s="6" t="s">
        <v>12</v>
      </c>
      <c r="G4" s="6"/>
      <c r="H4" s="7"/>
    </row>
    <row r="5" spans="1:8" ht="30" x14ac:dyDescent="0.25">
      <c r="A5" s="11" t="s">
        <v>13</v>
      </c>
      <c r="B5" s="3">
        <v>0</v>
      </c>
      <c r="C5" s="4" t="s">
        <v>10</v>
      </c>
      <c r="D5" s="4" t="s">
        <v>10</v>
      </c>
      <c r="E5" s="5" t="s">
        <v>11</v>
      </c>
      <c r="F5" s="6" t="s">
        <v>12</v>
      </c>
      <c r="G5" s="6"/>
      <c r="H5" s="7"/>
    </row>
    <row r="6" spans="1:8" ht="30" x14ac:dyDescent="0.25">
      <c r="A6" s="11" t="s">
        <v>14</v>
      </c>
      <c r="B6" s="3">
        <v>0</v>
      </c>
      <c r="C6" s="4" t="s">
        <v>10</v>
      </c>
      <c r="D6" s="4" t="s">
        <v>10</v>
      </c>
      <c r="E6" s="5" t="s">
        <v>11</v>
      </c>
      <c r="F6" s="6" t="s">
        <v>12</v>
      </c>
      <c r="G6" s="6"/>
      <c r="H6" s="7"/>
    </row>
    <row r="7" spans="1:8" ht="30" x14ac:dyDescent="0.25">
      <c r="A7" s="11" t="s">
        <v>15</v>
      </c>
      <c r="B7" s="3">
        <v>0</v>
      </c>
      <c r="C7" s="4" t="s">
        <v>10</v>
      </c>
      <c r="D7" s="4" t="s">
        <v>10</v>
      </c>
      <c r="E7" s="5" t="s">
        <v>11</v>
      </c>
      <c r="F7" s="6" t="s">
        <v>12</v>
      </c>
      <c r="G7" s="6"/>
      <c r="H7" s="7"/>
    </row>
    <row r="8" spans="1:8" ht="14.25" customHeight="1" x14ac:dyDescent="0.25">
      <c r="A8" s="11" t="s">
        <v>16</v>
      </c>
      <c r="B8" s="3">
        <v>0</v>
      </c>
      <c r="C8" s="4" t="s">
        <v>10</v>
      </c>
      <c r="D8" s="4" t="s">
        <v>10</v>
      </c>
      <c r="E8" s="5" t="s">
        <v>11</v>
      </c>
      <c r="F8" s="6" t="s">
        <v>12</v>
      </c>
      <c r="G8" s="6"/>
      <c r="H8" s="7"/>
    </row>
    <row r="9" spans="1:8" ht="14.25" customHeight="1" x14ac:dyDescent="0.25">
      <c r="A9" s="11" t="s">
        <v>17</v>
      </c>
      <c r="B9" s="3">
        <v>0</v>
      </c>
      <c r="C9" s="4" t="s">
        <v>10</v>
      </c>
      <c r="D9" s="4" t="s">
        <v>10</v>
      </c>
      <c r="E9" s="5" t="s">
        <v>11</v>
      </c>
      <c r="F9" s="6" t="s">
        <v>12</v>
      </c>
      <c r="G9" s="6"/>
      <c r="H9" s="7"/>
    </row>
    <row r="10" spans="1:8" x14ac:dyDescent="0.25">
      <c r="A10" s="8" t="s">
        <v>18</v>
      </c>
      <c r="B10" s="9">
        <f>SUM(B4:B7)/4</f>
        <v>0</v>
      </c>
      <c r="C10" s="10" t="s">
        <v>19</v>
      </c>
      <c r="D10" s="10" t="s">
        <v>19</v>
      </c>
      <c r="E10" s="10" t="s">
        <v>20</v>
      </c>
      <c r="F10" s="12" t="str">
        <f>CONCATENATE(ROUND(SUM(F4:F7)/8,0)," dias")</f>
        <v>0 dias</v>
      </c>
      <c r="G10" s="12"/>
      <c r="H10" s="7"/>
    </row>
    <row r="11" spans="1:8" x14ac:dyDescent="0.25">
      <c r="A11" s="24" t="s">
        <v>21</v>
      </c>
      <c r="B11" s="25"/>
      <c r="C11" s="26"/>
      <c r="D11" s="26"/>
      <c r="E11" s="27"/>
      <c r="F11" s="28" t="str">
        <f>CONCATENATE(SUM(F12:F13)," Horas")</f>
        <v>0 Horas</v>
      </c>
      <c r="G11" s="28"/>
      <c r="H11" s="27"/>
    </row>
    <row r="12" spans="1:8" x14ac:dyDescent="0.25">
      <c r="A12" s="2" t="s">
        <v>22</v>
      </c>
      <c r="B12" s="3">
        <v>0</v>
      </c>
      <c r="C12" s="4" t="s">
        <v>10</v>
      </c>
      <c r="D12" s="4" t="s">
        <v>10</v>
      </c>
      <c r="E12" s="5" t="s">
        <v>11</v>
      </c>
      <c r="F12" s="6" t="s">
        <v>12</v>
      </c>
      <c r="G12" s="6"/>
      <c r="H12" s="7"/>
    </row>
    <row r="13" spans="1:8" x14ac:dyDescent="0.25">
      <c r="A13" s="2" t="s">
        <v>23</v>
      </c>
      <c r="B13" s="3">
        <v>0</v>
      </c>
      <c r="C13" s="4" t="s">
        <v>10</v>
      </c>
      <c r="D13" s="4" t="s">
        <v>10</v>
      </c>
      <c r="E13" s="5" t="s">
        <v>11</v>
      </c>
      <c r="F13" s="6" t="s">
        <v>12</v>
      </c>
      <c r="G13" s="6"/>
      <c r="H13" s="7"/>
    </row>
    <row r="14" spans="1:8" x14ac:dyDescent="0.25">
      <c r="A14" s="8" t="s">
        <v>24</v>
      </c>
      <c r="B14" s="9">
        <f>SUM(B12:B13)/2</f>
        <v>0</v>
      </c>
      <c r="C14" s="10" t="s">
        <v>19</v>
      </c>
      <c r="D14" s="10" t="s">
        <v>19</v>
      </c>
      <c r="E14" s="10" t="s">
        <v>20</v>
      </c>
      <c r="F14" s="10" t="str">
        <f>CONCATENATE(ROUND(SUM(F12:F13)/8,0)," dias")</f>
        <v>0 dias</v>
      </c>
      <c r="G14" s="10"/>
      <c r="H14" s="7"/>
    </row>
    <row r="15" spans="1:8" x14ac:dyDescent="0.25">
      <c r="A15" s="29" t="s">
        <v>25</v>
      </c>
      <c r="B15" s="25"/>
      <c r="C15" s="26"/>
      <c r="D15" s="26"/>
      <c r="E15" s="27"/>
      <c r="F15" s="28" t="str">
        <f>CONCATENATE(SUM(F16:F20)," Horas")</f>
        <v>0 Horas</v>
      </c>
      <c r="G15" s="28"/>
      <c r="H15" s="27"/>
    </row>
    <row r="16" spans="1:8" x14ac:dyDescent="0.25">
      <c r="A16" s="11" t="s">
        <v>26</v>
      </c>
      <c r="B16" s="3">
        <v>0</v>
      </c>
      <c r="C16" s="4" t="s">
        <v>10</v>
      </c>
      <c r="D16" s="4" t="s">
        <v>10</v>
      </c>
      <c r="E16" s="5" t="s">
        <v>11</v>
      </c>
      <c r="F16" s="6" t="s">
        <v>12</v>
      </c>
      <c r="G16" s="6"/>
      <c r="H16" s="7"/>
    </row>
    <row r="17" spans="1:8" x14ac:dyDescent="0.25">
      <c r="A17" s="11" t="s">
        <v>27</v>
      </c>
      <c r="B17" s="3">
        <v>0</v>
      </c>
      <c r="C17" s="4" t="s">
        <v>10</v>
      </c>
      <c r="D17" s="4" t="s">
        <v>10</v>
      </c>
      <c r="E17" s="5" t="s">
        <v>11</v>
      </c>
      <c r="F17" s="6" t="s">
        <v>12</v>
      </c>
      <c r="G17" s="6"/>
      <c r="H17" s="7"/>
    </row>
    <row r="18" spans="1:8" x14ac:dyDescent="0.25">
      <c r="A18" s="11" t="s">
        <v>28</v>
      </c>
      <c r="B18" s="3">
        <v>0</v>
      </c>
      <c r="C18" s="4" t="s">
        <v>10</v>
      </c>
      <c r="D18" s="4" t="s">
        <v>10</v>
      </c>
      <c r="E18" s="5" t="s">
        <v>11</v>
      </c>
      <c r="F18" s="6" t="s">
        <v>12</v>
      </c>
      <c r="G18" s="6"/>
      <c r="H18" s="7"/>
    </row>
    <row r="19" spans="1:8" x14ac:dyDescent="0.25">
      <c r="A19" s="11" t="s">
        <v>29</v>
      </c>
      <c r="B19" s="3">
        <v>0</v>
      </c>
      <c r="C19" s="4" t="s">
        <v>10</v>
      </c>
      <c r="D19" s="4" t="s">
        <v>10</v>
      </c>
      <c r="E19" s="5" t="s">
        <v>11</v>
      </c>
      <c r="F19" s="6" t="s">
        <v>12</v>
      </c>
      <c r="G19" s="6"/>
      <c r="H19" s="7"/>
    </row>
    <row r="20" spans="1:8" x14ac:dyDescent="0.25">
      <c r="A20" s="11" t="s">
        <v>30</v>
      </c>
      <c r="B20" s="3">
        <v>0</v>
      </c>
      <c r="C20" s="4" t="s">
        <v>10</v>
      </c>
      <c r="D20" s="4" t="s">
        <v>10</v>
      </c>
      <c r="E20" s="5" t="s">
        <v>11</v>
      </c>
      <c r="F20" s="6" t="s">
        <v>12</v>
      </c>
      <c r="G20" s="6"/>
      <c r="H20" s="7"/>
    </row>
    <row r="21" spans="1:8" x14ac:dyDescent="0.25">
      <c r="A21" s="8" t="s">
        <v>31</v>
      </c>
      <c r="B21" s="9">
        <f>SUM(B16:B20)/3</f>
        <v>0</v>
      </c>
      <c r="C21" s="10" t="s">
        <v>19</v>
      </c>
      <c r="D21" s="10" t="s">
        <v>19</v>
      </c>
      <c r="E21" s="10" t="s">
        <v>20</v>
      </c>
      <c r="F21" s="10" t="str">
        <f>CONCATENATE(ROUND(SUM(F16:F20)/8,0)," dias")</f>
        <v>0 dias</v>
      </c>
      <c r="G21" s="10"/>
      <c r="H21" s="13"/>
    </row>
    <row r="22" spans="1:8" x14ac:dyDescent="0.25">
      <c r="A22" s="29" t="s">
        <v>32</v>
      </c>
      <c r="B22" s="25"/>
      <c r="C22" s="26"/>
      <c r="D22" s="26"/>
      <c r="E22" s="27"/>
      <c r="F22" s="28" t="str">
        <f>CONCATENATE(SUM(F23:F23)," Horas")</f>
        <v>0 Horas</v>
      </c>
      <c r="G22" s="28"/>
      <c r="H22" s="27"/>
    </row>
    <row r="23" spans="1:8" x14ac:dyDescent="0.25">
      <c r="A23" s="11" t="s">
        <v>33</v>
      </c>
      <c r="B23" s="3">
        <v>0</v>
      </c>
      <c r="C23" s="4" t="s">
        <v>10</v>
      </c>
      <c r="D23" s="4" t="s">
        <v>10</v>
      </c>
      <c r="E23" s="5" t="s">
        <v>34</v>
      </c>
      <c r="F23" s="6" t="s">
        <v>12</v>
      </c>
      <c r="G23" s="6"/>
      <c r="H23" s="7"/>
    </row>
    <row r="24" spans="1:8" x14ac:dyDescent="0.25">
      <c r="A24" s="11" t="s">
        <v>35</v>
      </c>
      <c r="B24" s="3">
        <v>0</v>
      </c>
      <c r="C24" s="4" t="s">
        <v>10</v>
      </c>
      <c r="D24" s="4" t="s">
        <v>10</v>
      </c>
      <c r="E24" s="5" t="s">
        <v>34</v>
      </c>
      <c r="F24" s="6" t="s">
        <v>12</v>
      </c>
      <c r="G24" s="6"/>
      <c r="H24" s="7"/>
    </row>
    <row r="25" spans="1:8" x14ac:dyDescent="0.25">
      <c r="A25" s="11" t="s">
        <v>36</v>
      </c>
      <c r="B25" s="3">
        <v>0</v>
      </c>
      <c r="C25" s="4" t="s">
        <v>10</v>
      </c>
      <c r="D25" s="4" t="s">
        <v>10</v>
      </c>
      <c r="E25" s="5" t="s">
        <v>34</v>
      </c>
      <c r="F25" s="6" t="s">
        <v>12</v>
      </c>
      <c r="G25" s="6"/>
      <c r="H25" s="7"/>
    </row>
    <row r="26" spans="1:8" x14ac:dyDescent="0.25">
      <c r="A26" s="11" t="s">
        <v>37</v>
      </c>
      <c r="B26" s="3">
        <v>0</v>
      </c>
      <c r="C26" s="4" t="s">
        <v>10</v>
      </c>
      <c r="D26" s="4" t="s">
        <v>10</v>
      </c>
      <c r="E26" s="5" t="s">
        <v>34</v>
      </c>
      <c r="F26" s="6" t="s">
        <v>12</v>
      </c>
      <c r="G26" s="6"/>
      <c r="H26" s="7"/>
    </row>
    <row r="27" spans="1:8" x14ac:dyDescent="0.25">
      <c r="A27" s="11" t="s">
        <v>38</v>
      </c>
      <c r="B27" s="3">
        <v>0</v>
      </c>
      <c r="C27" s="4" t="s">
        <v>10</v>
      </c>
      <c r="D27" s="4" t="s">
        <v>10</v>
      </c>
      <c r="E27" s="5" t="s">
        <v>34</v>
      </c>
      <c r="F27" s="6" t="s">
        <v>12</v>
      </c>
      <c r="G27" s="6"/>
      <c r="H27" s="7"/>
    </row>
    <row r="28" spans="1:8" x14ac:dyDescent="0.25">
      <c r="A28" s="8" t="s">
        <v>39</v>
      </c>
      <c r="B28" s="9">
        <f>SUM(B23:B23)/5</f>
        <v>0</v>
      </c>
      <c r="C28" s="10" t="s">
        <v>19</v>
      </c>
      <c r="D28" s="10" t="s">
        <v>19</v>
      </c>
      <c r="E28" s="10" t="s">
        <v>20</v>
      </c>
      <c r="F28" s="12" t="str">
        <f>CONCATENATE(ROUND(SUM(F23:F23)/8,0)," dias")</f>
        <v>0 dias</v>
      </c>
      <c r="G28" s="12"/>
      <c r="H28" s="13"/>
    </row>
    <row r="29" spans="1:8" x14ac:dyDescent="0.25">
      <c r="A29" s="29" t="s">
        <v>40</v>
      </c>
      <c r="B29" s="25"/>
      <c r="C29" s="28"/>
      <c r="D29" s="28"/>
      <c r="E29" s="27"/>
      <c r="F29" s="28" t="str">
        <f>CONCATENATE(SUM(F30:F34)," Horas")</f>
        <v>0 Horas</v>
      </c>
      <c r="G29" s="28"/>
      <c r="H29" s="27"/>
    </row>
    <row r="30" spans="1:8" x14ac:dyDescent="0.25">
      <c r="A30" s="2" t="s">
        <v>33</v>
      </c>
      <c r="B30" s="3">
        <v>0</v>
      </c>
      <c r="C30" s="4">
        <v>45229</v>
      </c>
      <c r="D30" s="4" t="s">
        <v>10</v>
      </c>
      <c r="E30" s="5" t="s">
        <v>11</v>
      </c>
      <c r="F30" s="6" t="s">
        <v>12</v>
      </c>
      <c r="G30" s="6"/>
      <c r="H30" s="7"/>
    </row>
    <row r="31" spans="1:8" x14ac:dyDescent="0.25">
      <c r="A31" s="11" t="s">
        <v>36</v>
      </c>
      <c r="B31" s="3">
        <v>0</v>
      </c>
      <c r="C31" s="4">
        <v>45261</v>
      </c>
      <c r="D31" s="4" t="s">
        <v>10</v>
      </c>
      <c r="E31" s="5" t="s">
        <v>11</v>
      </c>
      <c r="F31" s="6" t="s">
        <v>12</v>
      </c>
      <c r="G31" s="6"/>
      <c r="H31" s="7"/>
    </row>
    <row r="32" spans="1:8" ht="30" x14ac:dyDescent="0.25">
      <c r="A32" s="11" t="s">
        <v>41</v>
      </c>
      <c r="B32" s="3">
        <v>0</v>
      </c>
      <c r="C32" s="4">
        <v>45261</v>
      </c>
      <c r="D32" s="4" t="s">
        <v>10</v>
      </c>
      <c r="E32" s="5" t="s">
        <v>11</v>
      </c>
      <c r="F32" s="6" t="s">
        <v>12</v>
      </c>
      <c r="G32" s="6"/>
      <c r="H32" s="7"/>
    </row>
    <row r="33" spans="1:8" x14ac:dyDescent="0.25">
      <c r="A33" s="11" t="s">
        <v>37</v>
      </c>
      <c r="B33" s="15">
        <v>0</v>
      </c>
      <c r="C33" s="4">
        <v>45272</v>
      </c>
      <c r="D33" s="4" t="s">
        <v>10</v>
      </c>
      <c r="E33" s="5" t="s">
        <v>11</v>
      </c>
      <c r="F33" s="6" t="s">
        <v>12</v>
      </c>
      <c r="G33" s="6"/>
      <c r="H33" s="7"/>
    </row>
    <row r="34" spans="1:8" x14ac:dyDescent="0.25">
      <c r="A34" s="11" t="s">
        <v>42</v>
      </c>
      <c r="B34" s="15">
        <v>0</v>
      </c>
      <c r="C34" s="4">
        <v>45279</v>
      </c>
      <c r="D34" s="4" t="s">
        <v>10</v>
      </c>
      <c r="E34" s="5" t="s">
        <v>11</v>
      </c>
      <c r="F34" s="6" t="s">
        <v>12</v>
      </c>
      <c r="G34" s="6"/>
      <c r="H34" s="7"/>
    </row>
    <row r="35" spans="1:8" x14ac:dyDescent="0.25">
      <c r="A35" s="8" t="s">
        <v>43</v>
      </c>
      <c r="B35" s="9">
        <f>SUM(B30:B34)/3</f>
        <v>0</v>
      </c>
      <c r="C35" s="10" t="s">
        <v>19</v>
      </c>
      <c r="D35" s="10" t="s">
        <v>19</v>
      </c>
      <c r="E35" s="10" t="s">
        <v>20</v>
      </c>
      <c r="F35" s="10" t="str">
        <f>CONCATENATE(ROUND(SUM(F30:F34)/8,0)," dias")</f>
        <v>0 dias</v>
      </c>
      <c r="G35" s="10"/>
      <c r="H35" s="13"/>
    </row>
    <row r="36" spans="1:8" x14ac:dyDescent="0.25">
      <c r="A36" s="29" t="s">
        <v>44</v>
      </c>
      <c r="B36" s="25"/>
      <c r="C36" s="26"/>
      <c r="D36" s="26"/>
      <c r="E36" s="27"/>
      <c r="F36" s="28" t="str">
        <f>CONCATENATE(SUM(F37:F39)," Horas")</f>
        <v>0 Horas</v>
      </c>
      <c r="G36" s="28"/>
      <c r="H36" s="27"/>
    </row>
    <row r="37" spans="1:8" ht="30" x14ac:dyDescent="0.25">
      <c r="A37" s="14" t="s">
        <v>45</v>
      </c>
      <c r="B37" s="3">
        <v>0</v>
      </c>
      <c r="C37" s="4" t="s">
        <v>10</v>
      </c>
      <c r="D37" s="4" t="s">
        <v>10</v>
      </c>
      <c r="E37" s="5" t="s">
        <v>11</v>
      </c>
      <c r="F37" s="6" t="s">
        <v>12</v>
      </c>
      <c r="G37" s="6"/>
      <c r="H37" s="7"/>
    </row>
    <row r="38" spans="1:8" x14ac:dyDescent="0.25">
      <c r="A38" s="14" t="s">
        <v>46</v>
      </c>
      <c r="B38" s="3">
        <v>0</v>
      </c>
      <c r="C38" s="4" t="s">
        <v>10</v>
      </c>
      <c r="D38" s="4" t="s">
        <v>10</v>
      </c>
      <c r="E38" s="5" t="s">
        <v>11</v>
      </c>
      <c r="F38" s="6" t="s">
        <v>12</v>
      </c>
      <c r="G38" s="6"/>
      <c r="H38" s="7"/>
    </row>
    <row r="39" spans="1:8" x14ac:dyDescent="0.25">
      <c r="A39" s="14" t="s">
        <v>47</v>
      </c>
      <c r="B39" s="3">
        <v>0</v>
      </c>
      <c r="C39" s="4" t="s">
        <v>10</v>
      </c>
      <c r="D39" s="4" t="s">
        <v>10</v>
      </c>
      <c r="E39" s="5" t="s">
        <v>11</v>
      </c>
      <c r="F39" s="6" t="s">
        <v>12</v>
      </c>
      <c r="G39" s="6"/>
      <c r="H39" s="5"/>
    </row>
    <row r="40" spans="1:8" x14ac:dyDescent="0.25">
      <c r="A40" s="22" t="s">
        <v>48</v>
      </c>
      <c r="B40" s="3">
        <v>0</v>
      </c>
      <c r="C40" s="4" t="s">
        <v>10</v>
      </c>
      <c r="D40" s="4" t="s">
        <v>10</v>
      </c>
      <c r="E40" s="5" t="s">
        <v>11</v>
      </c>
      <c r="F40" s="6" t="s">
        <v>12</v>
      </c>
      <c r="G40" s="6"/>
      <c r="H40" s="5"/>
    </row>
    <row r="41" spans="1:8" ht="16.5" customHeight="1" x14ac:dyDescent="0.25">
      <c r="A41" s="23" t="s">
        <v>49</v>
      </c>
      <c r="B41" s="3">
        <v>0</v>
      </c>
      <c r="C41" s="4" t="s">
        <v>10</v>
      </c>
      <c r="D41" s="4" t="s">
        <v>10</v>
      </c>
      <c r="E41" s="5" t="s">
        <v>11</v>
      </c>
      <c r="F41" s="6" t="s">
        <v>12</v>
      </c>
      <c r="G41" s="6"/>
      <c r="H41" s="5"/>
    </row>
    <row r="42" spans="1:8" x14ac:dyDescent="0.25">
      <c r="A42" s="23" t="s">
        <v>50</v>
      </c>
      <c r="B42" s="3">
        <v>0</v>
      </c>
      <c r="C42" s="4" t="s">
        <v>10</v>
      </c>
      <c r="D42" s="4" t="s">
        <v>10</v>
      </c>
      <c r="E42" s="5" t="s">
        <v>11</v>
      </c>
      <c r="F42" s="6" t="s">
        <v>12</v>
      </c>
      <c r="G42" s="6"/>
      <c r="H42" s="5"/>
    </row>
    <row r="43" spans="1:8" x14ac:dyDescent="0.25">
      <c r="A43" s="23" t="s">
        <v>51</v>
      </c>
      <c r="B43" s="3">
        <v>0</v>
      </c>
      <c r="C43" s="4" t="s">
        <v>10</v>
      </c>
      <c r="D43" s="4" t="s">
        <v>10</v>
      </c>
      <c r="E43" s="5" t="s">
        <v>11</v>
      </c>
      <c r="F43" s="6" t="s">
        <v>12</v>
      </c>
      <c r="G43" s="6"/>
      <c r="H43" s="5"/>
    </row>
    <row r="44" spans="1:8" x14ac:dyDescent="0.25">
      <c r="A44" s="14" t="s">
        <v>52</v>
      </c>
      <c r="B44" s="3">
        <v>0</v>
      </c>
      <c r="C44" s="4" t="s">
        <v>10</v>
      </c>
      <c r="D44" s="4" t="s">
        <v>10</v>
      </c>
      <c r="E44" s="5" t="s">
        <v>11</v>
      </c>
      <c r="F44" s="6" t="s">
        <v>12</v>
      </c>
      <c r="G44" s="6"/>
      <c r="H44" s="5"/>
    </row>
    <row r="45" spans="1:8" x14ac:dyDescent="0.25">
      <c r="A45" s="8" t="s">
        <v>43</v>
      </c>
      <c r="B45" s="9">
        <f>SUM(B37:B39)/3</f>
        <v>0</v>
      </c>
      <c r="C45" s="10" t="s">
        <v>19</v>
      </c>
      <c r="D45" s="10" t="s">
        <v>19</v>
      </c>
      <c r="E45" s="10" t="s">
        <v>20</v>
      </c>
      <c r="F45" s="10" t="str">
        <f>CONCATENATE(ROUND(SUM(F37:F39)/8,0)," dias")</f>
        <v>0 dias</v>
      </c>
      <c r="G45" s="10"/>
      <c r="H45" s="13"/>
    </row>
    <row r="46" spans="1:8" ht="15.75" customHeight="1" x14ac:dyDescent="0.25">
      <c r="A46" s="30" t="s">
        <v>53</v>
      </c>
      <c r="B46" s="25"/>
      <c r="C46" s="26"/>
      <c r="D46" s="26"/>
      <c r="E46" s="27"/>
      <c r="F46" s="28" t="str">
        <f>CONCATENATE(SUM(F47:F59)," Horas")</f>
        <v>0 Horas</v>
      </c>
      <c r="G46" s="28"/>
      <c r="H46" s="27"/>
    </row>
    <row r="47" spans="1:8" ht="16.5" customHeight="1" x14ac:dyDescent="0.25">
      <c r="A47" s="14" t="s">
        <v>54</v>
      </c>
      <c r="B47" s="3">
        <v>0</v>
      </c>
      <c r="C47" s="4" t="s">
        <v>10</v>
      </c>
      <c r="D47" s="4" t="s">
        <v>10</v>
      </c>
      <c r="E47" s="5" t="s">
        <v>11</v>
      </c>
      <c r="F47" s="6" t="s">
        <v>12</v>
      </c>
      <c r="G47" s="6"/>
      <c r="H47" s="16" t="s">
        <v>55</v>
      </c>
    </row>
    <row r="48" spans="1:8" ht="15" customHeight="1" x14ac:dyDescent="0.25">
      <c r="A48" s="14" t="s">
        <v>56</v>
      </c>
      <c r="B48" s="3">
        <v>0</v>
      </c>
      <c r="C48" s="4" t="s">
        <v>10</v>
      </c>
      <c r="D48" s="4" t="s">
        <v>10</v>
      </c>
      <c r="E48" s="5" t="s">
        <v>11</v>
      </c>
      <c r="F48" s="6" t="s">
        <v>12</v>
      </c>
      <c r="G48" s="6"/>
      <c r="H48" s="16" t="s">
        <v>55</v>
      </c>
    </row>
    <row r="49" spans="1:8" ht="13.5" customHeight="1" x14ac:dyDescent="0.25">
      <c r="A49" s="14" t="s">
        <v>57</v>
      </c>
      <c r="B49" s="3">
        <v>0</v>
      </c>
      <c r="C49" s="4" t="s">
        <v>10</v>
      </c>
      <c r="D49" s="4" t="s">
        <v>10</v>
      </c>
      <c r="E49" s="5" t="s">
        <v>11</v>
      </c>
      <c r="F49" s="6" t="s">
        <v>12</v>
      </c>
      <c r="G49" s="6"/>
      <c r="H49" s="16" t="s">
        <v>55</v>
      </c>
    </row>
    <row r="50" spans="1:8" ht="13.5" customHeight="1" x14ac:dyDescent="0.25">
      <c r="A50" s="14" t="s">
        <v>58</v>
      </c>
      <c r="B50" s="3">
        <v>0</v>
      </c>
      <c r="C50" s="4" t="s">
        <v>10</v>
      </c>
      <c r="D50" s="4" t="s">
        <v>10</v>
      </c>
      <c r="E50" s="5" t="s">
        <v>11</v>
      </c>
      <c r="F50" s="6" t="s">
        <v>12</v>
      </c>
      <c r="G50" s="6"/>
      <c r="H50" s="16" t="s">
        <v>55</v>
      </c>
    </row>
    <row r="51" spans="1:8" ht="17.25" customHeight="1" x14ac:dyDescent="0.25">
      <c r="A51" s="14" t="s">
        <v>59</v>
      </c>
      <c r="B51" s="3">
        <v>0</v>
      </c>
      <c r="C51" s="4" t="s">
        <v>10</v>
      </c>
      <c r="D51" s="4" t="s">
        <v>10</v>
      </c>
      <c r="E51" s="5" t="s">
        <v>11</v>
      </c>
      <c r="F51" s="6" t="s">
        <v>12</v>
      </c>
      <c r="G51" s="6"/>
      <c r="H51" s="16" t="s">
        <v>55</v>
      </c>
    </row>
    <row r="52" spans="1:8" x14ac:dyDescent="0.25">
      <c r="A52" s="14" t="s">
        <v>60</v>
      </c>
      <c r="B52" s="3">
        <v>0</v>
      </c>
      <c r="C52" s="4" t="s">
        <v>10</v>
      </c>
      <c r="D52" s="4" t="s">
        <v>10</v>
      </c>
      <c r="E52" s="5" t="s">
        <v>11</v>
      </c>
      <c r="F52" s="6" t="s">
        <v>12</v>
      </c>
      <c r="G52" s="6"/>
      <c r="H52" s="16" t="s">
        <v>55</v>
      </c>
    </row>
    <row r="53" spans="1:8" x14ac:dyDescent="0.25">
      <c r="A53" s="14" t="s">
        <v>61</v>
      </c>
      <c r="B53" s="3">
        <v>0</v>
      </c>
      <c r="C53" s="4" t="s">
        <v>10</v>
      </c>
      <c r="D53" s="4" t="s">
        <v>10</v>
      </c>
      <c r="E53" s="5" t="s">
        <v>11</v>
      </c>
      <c r="F53" s="6" t="s">
        <v>12</v>
      </c>
      <c r="G53" s="6"/>
      <c r="H53" s="16" t="s">
        <v>55</v>
      </c>
    </row>
    <row r="54" spans="1:8" x14ac:dyDescent="0.25">
      <c r="A54" s="14" t="s">
        <v>58</v>
      </c>
      <c r="B54" s="3">
        <v>0</v>
      </c>
      <c r="C54" s="4" t="s">
        <v>10</v>
      </c>
      <c r="D54" s="4" t="s">
        <v>10</v>
      </c>
      <c r="E54" s="5" t="s">
        <v>11</v>
      </c>
      <c r="F54" s="6" t="s">
        <v>12</v>
      </c>
      <c r="G54" s="6"/>
      <c r="H54" s="16" t="s">
        <v>55</v>
      </c>
    </row>
    <row r="55" spans="1:8" x14ac:dyDescent="0.25">
      <c r="A55" s="33" t="s">
        <v>62</v>
      </c>
      <c r="B55" s="3">
        <v>0</v>
      </c>
      <c r="C55" s="4" t="s">
        <v>10</v>
      </c>
      <c r="D55" s="4" t="s">
        <v>10</v>
      </c>
      <c r="E55" s="5" t="s">
        <v>11</v>
      </c>
      <c r="F55" s="6" t="s">
        <v>12</v>
      </c>
      <c r="G55" s="6"/>
      <c r="H55" s="16" t="s">
        <v>55</v>
      </c>
    </row>
    <row r="56" spans="1:8" x14ac:dyDescent="0.25">
      <c r="A56" s="33" t="s">
        <v>63</v>
      </c>
      <c r="B56" s="3">
        <v>0</v>
      </c>
      <c r="C56" s="4" t="s">
        <v>10</v>
      </c>
      <c r="D56" s="4" t="s">
        <v>10</v>
      </c>
      <c r="E56" s="5" t="s">
        <v>11</v>
      </c>
      <c r="F56" s="6" t="s">
        <v>12</v>
      </c>
      <c r="G56" s="6"/>
      <c r="H56" s="16" t="s">
        <v>55</v>
      </c>
    </row>
    <row r="57" spans="1:8" s="3" customFormat="1" x14ac:dyDescent="0.25">
      <c r="A57" s="33" t="s">
        <v>64</v>
      </c>
      <c r="B57" s="3">
        <v>0</v>
      </c>
      <c r="C57" s="4" t="s">
        <v>10</v>
      </c>
      <c r="D57" s="4" t="s">
        <v>10</v>
      </c>
      <c r="E57" s="5" t="s">
        <v>11</v>
      </c>
      <c r="F57" s="6" t="s">
        <v>12</v>
      </c>
      <c r="G57" s="6"/>
      <c r="H57" s="16" t="s">
        <v>55</v>
      </c>
    </row>
    <row r="58" spans="1:8" x14ac:dyDescent="0.25">
      <c r="A58" s="33" t="s">
        <v>65</v>
      </c>
      <c r="B58" s="3">
        <v>0</v>
      </c>
      <c r="C58" s="4" t="s">
        <v>10</v>
      </c>
      <c r="D58" s="4" t="s">
        <v>10</v>
      </c>
      <c r="E58" s="5" t="s">
        <v>11</v>
      </c>
      <c r="F58" s="6" t="s">
        <v>12</v>
      </c>
      <c r="G58" s="6"/>
      <c r="H58" s="16" t="s">
        <v>55</v>
      </c>
    </row>
    <row r="59" spans="1:8" x14ac:dyDescent="0.25">
      <c r="A59" s="33" t="s">
        <v>66</v>
      </c>
      <c r="B59" s="3">
        <v>0</v>
      </c>
      <c r="C59" s="4" t="s">
        <v>10</v>
      </c>
      <c r="D59" s="4" t="s">
        <v>10</v>
      </c>
      <c r="E59" s="5" t="s">
        <v>11</v>
      </c>
      <c r="F59" s="6" t="s">
        <v>12</v>
      </c>
      <c r="G59" s="6"/>
      <c r="H59" s="16" t="s">
        <v>55</v>
      </c>
    </row>
    <row r="60" spans="1:8" x14ac:dyDescent="0.25">
      <c r="A60" s="17" t="s">
        <v>67</v>
      </c>
      <c r="B60" s="9">
        <f>SUM(B47:B59)/14</f>
        <v>0</v>
      </c>
      <c r="C60" s="10" t="s">
        <v>19</v>
      </c>
      <c r="D60" s="10" t="s">
        <v>19</v>
      </c>
      <c r="E60" s="10" t="s">
        <v>20</v>
      </c>
      <c r="F60" s="12" t="str">
        <f>CONCATENATE(ROUND(SUM(F47:F59)/8,0)," dias")</f>
        <v>0 dias</v>
      </c>
      <c r="G60" s="12"/>
      <c r="H60" s="12"/>
    </row>
    <row r="61" spans="1:8" x14ac:dyDescent="0.25">
      <c r="A61" s="31" t="s">
        <v>68</v>
      </c>
      <c r="B61" s="25"/>
      <c r="C61" s="26"/>
      <c r="D61" s="26"/>
      <c r="E61" s="27"/>
      <c r="F61" s="28" t="str">
        <f>CONCATENATE(F62," Horas")</f>
        <v>hh Horas</v>
      </c>
      <c r="G61" s="28"/>
      <c r="H61" s="27"/>
    </row>
    <row r="62" spans="1:8" x14ac:dyDescent="0.25">
      <c r="A62" s="2" t="s">
        <v>69</v>
      </c>
      <c r="B62" s="3">
        <v>0</v>
      </c>
      <c r="C62" s="4" t="s">
        <v>10</v>
      </c>
      <c r="D62" s="4" t="s">
        <v>10</v>
      </c>
      <c r="E62" s="5" t="s">
        <v>11</v>
      </c>
      <c r="F62" s="6" t="s">
        <v>12</v>
      </c>
      <c r="G62" s="6"/>
      <c r="H62" s="16" t="s">
        <v>55</v>
      </c>
    </row>
    <row r="63" spans="1:8" x14ac:dyDescent="0.25">
      <c r="A63" s="32" t="s">
        <v>70</v>
      </c>
      <c r="B63" s="3">
        <v>0</v>
      </c>
      <c r="C63" s="4" t="s">
        <v>10</v>
      </c>
      <c r="D63" s="4" t="s">
        <v>10</v>
      </c>
      <c r="E63" s="5" t="s">
        <v>11</v>
      </c>
      <c r="F63" s="6" t="s">
        <v>12</v>
      </c>
      <c r="G63" s="6"/>
      <c r="H63" s="16" t="s">
        <v>55</v>
      </c>
    </row>
    <row r="64" spans="1:8" x14ac:dyDescent="0.25">
      <c r="A64" s="32" t="s">
        <v>71</v>
      </c>
      <c r="B64" s="3">
        <v>0</v>
      </c>
      <c r="C64" s="4" t="s">
        <v>10</v>
      </c>
      <c r="D64" s="4" t="s">
        <v>10</v>
      </c>
      <c r="E64" s="5" t="s">
        <v>11</v>
      </c>
      <c r="F64" s="6" t="s">
        <v>12</v>
      </c>
      <c r="G64" s="6"/>
      <c r="H64" s="16" t="s">
        <v>55</v>
      </c>
    </row>
    <row r="65" spans="1:8" x14ac:dyDescent="0.25">
      <c r="A65" s="33" t="s">
        <v>72</v>
      </c>
      <c r="B65" s="3">
        <v>0</v>
      </c>
      <c r="C65" s="4" t="s">
        <v>10</v>
      </c>
      <c r="D65" s="4" t="s">
        <v>10</v>
      </c>
      <c r="E65" s="5" t="s">
        <v>11</v>
      </c>
      <c r="F65" s="6" t="s">
        <v>12</v>
      </c>
      <c r="G65" s="6"/>
      <c r="H65" s="16" t="s">
        <v>55</v>
      </c>
    </row>
    <row r="66" spans="1:8" x14ac:dyDescent="0.25">
      <c r="A66" s="33" t="s">
        <v>73</v>
      </c>
      <c r="B66" s="3">
        <v>0</v>
      </c>
      <c r="C66" s="4" t="s">
        <v>10</v>
      </c>
      <c r="D66" s="4" t="s">
        <v>10</v>
      </c>
      <c r="E66" s="5" t="s">
        <v>11</v>
      </c>
      <c r="F66" s="6" t="s">
        <v>12</v>
      </c>
      <c r="G66" s="6"/>
      <c r="H66" s="16" t="s">
        <v>55</v>
      </c>
    </row>
    <row r="67" spans="1:8" x14ac:dyDescent="0.25">
      <c r="A67" s="17" t="s">
        <v>74</v>
      </c>
      <c r="B67" s="9">
        <f>B62</f>
        <v>0</v>
      </c>
      <c r="C67" s="10" t="s">
        <v>19</v>
      </c>
      <c r="D67" s="10" t="s">
        <v>19</v>
      </c>
      <c r="E67" s="10" t="s">
        <v>20</v>
      </c>
      <c r="F67" s="12" t="str">
        <f>CONCATENATE(ROUND(SUM(F50:F62)/8,0)," dias")</f>
        <v>0 dias</v>
      </c>
      <c r="G67" s="12"/>
      <c r="H67" s="12"/>
    </row>
    <row r="68" spans="1:8" x14ac:dyDescent="0.25">
      <c r="A68" s="31" t="s">
        <v>75</v>
      </c>
      <c r="B68" s="35"/>
      <c r="C68" s="36"/>
      <c r="D68" s="36"/>
      <c r="E68" s="36"/>
      <c r="F68" s="37"/>
      <c r="G68" s="37"/>
      <c r="H68" s="37"/>
    </row>
    <row r="69" spans="1:8" x14ac:dyDescent="0.25">
      <c r="A69" s="33" t="s">
        <v>76</v>
      </c>
      <c r="B69" s="3">
        <v>0</v>
      </c>
      <c r="C69" s="4" t="s">
        <v>10</v>
      </c>
      <c r="D69" s="4" t="s">
        <v>10</v>
      </c>
      <c r="E69" s="5" t="s">
        <v>11</v>
      </c>
      <c r="F69" s="6" t="s">
        <v>12</v>
      </c>
      <c r="G69" s="6"/>
      <c r="H69" s="16" t="s">
        <v>55</v>
      </c>
    </row>
    <row r="70" spans="1:8" x14ac:dyDescent="0.25">
      <c r="A70" s="33" t="s">
        <v>77</v>
      </c>
      <c r="B70" s="3">
        <v>0</v>
      </c>
      <c r="C70" s="4" t="s">
        <v>10</v>
      </c>
      <c r="D70" s="4" t="s">
        <v>10</v>
      </c>
      <c r="E70" s="5" t="s">
        <v>11</v>
      </c>
      <c r="F70" s="6" t="s">
        <v>12</v>
      </c>
      <c r="G70" s="6"/>
      <c r="H70" s="16" t="s">
        <v>55</v>
      </c>
    </row>
    <row r="71" spans="1:8" x14ac:dyDescent="0.25">
      <c r="A71" s="33" t="s">
        <v>78</v>
      </c>
      <c r="B71" s="3">
        <v>0</v>
      </c>
      <c r="C71" s="4" t="s">
        <v>10</v>
      </c>
      <c r="D71" s="4" t="s">
        <v>10</v>
      </c>
      <c r="E71" s="5" t="s">
        <v>11</v>
      </c>
      <c r="F71" s="6" t="s">
        <v>12</v>
      </c>
      <c r="G71" s="6"/>
      <c r="H71" s="16" t="s">
        <v>55</v>
      </c>
    </row>
    <row r="72" spans="1:8" x14ac:dyDescent="0.25">
      <c r="A72" s="33" t="s">
        <v>79</v>
      </c>
      <c r="B72" s="3">
        <v>0</v>
      </c>
      <c r="C72" s="4" t="s">
        <v>10</v>
      </c>
      <c r="D72" s="4" t="s">
        <v>10</v>
      </c>
      <c r="E72" s="5" t="s">
        <v>11</v>
      </c>
      <c r="F72" s="6" t="s">
        <v>12</v>
      </c>
      <c r="G72" s="6"/>
      <c r="H72" s="16" t="s">
        <v>55</v>
      </c>
    </row>
    <row r="73" spans="1:8" x14ac:dyDescent="0.25">
      <c r="A73" s="33" t="s">
        <v>80</v>
      </c>
      <c r="B73" s="3">
        <v>0</v>
      </c>
      <c r="C73" s="4" t="s">
        <v>10</v>
      </c>
      <c r="D73" s="4" t="s">
        <v>10</v>
      </c>
      <c r="E73" s="5" t="s">
        <v>11</v>
      </c>
      <c r="F73" s="6" t="s">
        <v>12</v>
      </c>
      <c r="G73" s="6"/>
      <c r="H73" s="16" t="s">
        <v>55</v>
      </c>
    </row>
    <row r="74" spans="1:8" x14ac:dyDescent="0.25">
      <c r="A74" s="34" t="s">
        <v>81</v>
      </c>
      <c r="B74" s="3">
        <v>1</v>
      </c>
      <c r="C74" s="4" t="s">
        <v>10</v>
      </c>
      <c r="D74" s="4" t="s">
        <v>10</v>
      </c>
      <c r="E74" s="5" t="s">
        <v>11</v>
      </c>
      <c r="F74" s="6" t="s">
        <v>12</v>
      </c>
      <c r="G74" s="6"/>
      <c r="H74" s="16" t="s">
        <v>55</v>
      </c>
    </row>
    <row r="75" spans="1:8" x14ac:dyDescent="0.25">
      <c r="A75" s="1" t="s">
        <v>82</v>
      </c>
      <c r="B75" s="3">
        <v>0</v>
      </c>
      <c r="C75" s="4" t="s">
        <v>10</v>
      </c>
      <c r="D75" s="4" t="s">
        <v>10</v>
      </c>
      <c r="E75" s="5" t="s">
        <v>11</v>
      </c>
      <c r="F75" s="6" t="s">
        <v>12</v>
      </c>
      <c r="G75" s="6"/>
      <c r="H75" s="16" t="s">
        <v>55</v>
      </c>
    </row>
    <row r="76" spans="1:8" x14ac:dyDescent="0.25">
      <c r="A76" s="29" t="s">
        <v>83</v>
      </c>
      <c r="B76" s="25"/>
      <c r="C76" s="28"/>
      <c r="D76" s="28"/>
      <c r="E76" s="27"/>
      <c r="F76" s="28"/>
      <c r="G76" s="28"/>
      <c r="H76" s="27"/>
    </row>
    <row r="77" spans="1:8" x14ac:dyDescent="0.25">
      <c r="A77" s="2" t="s">
        <v>84</v>
      </c>
      <c r="B77" s="15">
        <v>0</v>
      </c>
      <c r="C77" s="4" t="s">
        <v>10</v>
      </c>
      <c r="D77" s="4" t="s">
        <v>10</v>
      </c>
      <c r="E77" s="5" t="s">
        <v>11</v>
      </c>
      <c r="F77" s="6" t="s">
        <v>12</v>
      </c>
      <c r="G77" s="6"/>
      <c r="H77" s="16" t="s">
        <v>55</v>
      </c>
    </row>
    <row r="78" spans="1:8" x14ac:dyDescent="0.25">
      <c r="A78" s="8" t="s">
        <v>85</v>
      </c>
      <c r="B78" s="9">
        <v>0</v>
      </c>
      <c r="C78" s="10" t="s">
        <v>19</v>
      </c>
      <c r="D78" s="10" t="s">
        <v>19</v>
      </c>
      <c r="E78" s="10" t="s">
        <v>20</v>
      </c>
      <c r="F78" s="12" t="str">
        <f>CONCATENATE(ROUND(SUM(F77)/8,0)," dias")</f>
        <v>0 dias</v>
      </c>
      <c r="G78" s="12"/>
      <c r="H78" s="13"/>
    </row>
    <row r="79" spans="1:8" x14ac:dyDescent="0.25">
      <c r="A79" s="29" t="s">
        <v>86</v>
      </c>
      <c r="B79" s="25"/>
      <c r="C79" s="28"/>
      <c r="D79" s="28"/>
      <c r="E79" s="27"/>
      <c r="F79" s="28"/>
      <c r="G79" s="28"/>
      <c r="H79" s="27"/>
    </row>
    <row r="80" spans="1:8" x14ac:dyDescent="0.25">
      <c r="A80" s="11" t="s">
        <v>87</v>
      </c>
      <c r="B80" s="15">
        <v>0</v>
      </c>
      <c r="C80" s="4" t="s">
        <v>10</v>
      </c>
      <c r="D80" s="4" t="s">
        <v>10</v>
      </c>
      <c r="E80" s="5" t="s">
        <v>11</v>
      </c>
      <c r="F80" s="6" t="s">
        <v>12</v>
      </c>
      <c r="G80" s="6"/>
      <c r="H80" s="16" t="s">
        <v>55</v>
      </c>
    </row>
    <row r="81" spans="1:8" x14ac:dyDescent="0.25">
      <c r="A81" s="11" t="s">
        <v>88</v>
      </c>
      <c r="B81" s="15">
        <v>0</v>
      </c>
      <c r="C81" s="4" t="s">
        <v>10</v>
      </c>
      <c r="D81" s="4" t="s">
        <v>10</v>
      </c>
      <c r="E81" s="5" t="s">
        <v>11</v>
      </c>
      <c r="F81" s="6" t="s">
        <v>12</v>
      </c>
      <c r="G81" s="6"/>
      <c r="H81" s="16" t="s">
        <v>55</v>
      </c>
    </row>
    <row r="82" spans="1:8" x14ac:dyDescent="0.25">
      <c r="A82" s="11" t="s">
        <v>89</v>
      </c>
      <c r="B82" s="15">
        <v>0</v>
      </c>
      <c r="C82" s="4" t="s">
        <v>10</v>
      </c>
      <c r="D82" s="4" t="s">
        <v>10</v>
      </c>
      <c r="E82" s="5" t="s">
        <v>11</v>
      </c>
      <c r="F82" s="6" t="s">
        <v>12</v>
      </c>
      <c r="G82" s="6"/>
      <c r="H82" s="16" t="s">
        <v>55</v>
      </c>
    </row>
    <row r="83" spans="1:8" x14ac:dyDescent="0.25">
      <c r="A83" s="38" t="s">
        <v>90</v>
      </c>
      <c r="B83" s="9">
        <v>0</v>
      </c>
      <c r="C83" s="10" t="s">
        <v>19</v>
      </c>
      <c r="D83" s="10" t="s">
        <v>19</v>
      </c>
      <c r="E83" s="10" t="s">
        <v>20</v>
      </c>
      <c r="F83" s="12" t="str">
        <f>CONCATENATE(ROUND(SUM(F80:F82)/8,0)," dias")</f>
        <v>0 dias</v>
      </c>
      <c r="G83" s="12"/>
      <c r="H83" s="13"/>
    </row>
    <row r="84" spans="1:8" x14ac:dyDescent="0.25">
      <c r="A84" s="29" t="s">
        <v>91</v>
      </c>
      <c r="B84" s="25">
        <v>0</v>
      </c>
      <c r="C84" s="28"/>
      <c r="D84" s="28"/>
      <c r="E84" s="27"/>
      <c r="F84" s="28"/>
      <c r="G84" s="28"/>
      <c r="H84" s="27"/>
    </row>
    <row r="85" spans="1:8" x14ac:dyDescent="0.25">
      <c r="A85" s="2" t="s">
        <v>92</v>
      </c>
      <c r="B85" s="15">
        <v>0</v>
      </c>
      <c r="C85" s="4" t="s">
        <v>10</v>
      </c>
      <c r="D85" s="4" t="s">
        <v>10</v>
      </c>
      <c r="E85" s="5" t="s">
        <v>11</v>
      </c>
      <c r="F85" s="6" t="s">
        <v>12</v>
      </c>
      <c r="G85" s="6"/>
      <c r="H85" s="16" t="s">
        <v>55</v>
      </c>
    </row>
    <row r="86" spans="1:8" x14ac:dyDescent="0.25">
      <c r="A86" s="2" t="s">
        <v>93</v>
      </c>
      <c r="B86" s="15">
        <v>0</v>
      </c>
      <c r="C86" s="4" t="s">
        <v>10</v>
      </c>
      <c r="D86" s="4" t="s">
        <v>10</v>
      </c>
      <c r="E86" s="5" t="s">
        <v>11</v>
      </c>
      <c r="F86" s="6" t="s">
        <v>12</v>
      </c>
      <c r="G86" s="6"/>
      <c r="H86" s="16" t="s">
        <v>55</v>
      </c>
    </row>
    <row r="87" spans="1:8" ht="30" customHeight="1" x14ac:dyDescent="0.25">
      <c r="A87" s="2" t="s">
        <v>94</v>
      </c>
      <c r="B87" s="15">
        <v>0</v>
      </c>
      <c r="C87" s="4" t="s">
        <v>10</v>
      </c>
      <c r="D87" s="4" t="s">
        <v>10</v>
      </c>
      <c r="E87" s="5" t="s">
        <v>11</v>
      </c>
      <c r="F87" s="6" t="s">
        <v>12</v>
      </c>
      <c r="G87" s="6"/>
      <c r="H87" s="16" t="s">
        <v>55</v>
      </c>
    </row>
    <row r="88" spans="1:8" x14ac:dyDescent="0.25">
      <c r="A88" s="8" t="s">
        <v>95</v>
      </c>
      <c r="B88" s="9">
        <v>0</v>
      </c>
      <c r="C88" s="10" t="s">
        <v>19</v>
      </c>
      <c r="D88" s="10" t="s">
        <v>19</v>
      </c>
      <c r="E88" s="10" t="s">
        <v>20</v>
      </c>
      <c r="F88" s="12" t="str">
        <f>CONCATENATE(ROUND(SUM(F85:F87)/8,0)," dias")</f>
        <v>0 dias</v>
      </c>
      <c r="G88" s="12"/>
      <c r="H88" s="13"/>
    </row>
    <row r="89" spans="1:8" x14ac:dyDescent="0.25">
      <c r="A89" s="29" t="s">
        <v>96</v>
      </c>
      <c r="B89" s="25">
        <v>0</v>
      </c>
      <c r="C89" s="28"/>
      <c r="D89" s="28"/>
      <c r="E89" s="27"/>
      <c r="F89" s="28"/>
      <c r="G89" s="28"/>
      <c r="H89" s="27"/>
    </row>
    <row r="90" spans="1:8" x14ac:dyDescent="0.25">
      <c r="A90" s="2" t="s">
        <v>97</v>
      </c>
      <c r="B90" s="15">
        <v>0</v>
      </c>
      <c r="C90" s="4" t="s">
        <v>10</v>
      </c>
      <c r="D90" s="4" t="s">
        <v>10</v>
      </c>
      <c r="E90" s="5" t="s">
        <v>11</v>
      </c>
      <c r="F90" s="6" t="s">
        <v>12</v>
      </c>
      <c r="G90" s="6"/>
      <c r="H90" s="16" t="s">
        <v>55</v>
      </c>
    </row>
    <row r="91" spans="1:8" x14ac:dyDescent="0.25">
      <c r="A91" s="2" t="s">
        <v>98</v>
      </c>
      <c r="B91" s="15">
        <v>0</v>
      </c>
      <c r="C91" s="4" t="s">
        <v>10</v>
      </c>
      <c r="D91" s="4" t="s">
        <v>10</v>
      </c>
      <c r="E91" s="5" t="s">
        <v>11</v>
      </c>
      <c r="F91" s="6" t="s">
        <v>12</v>
      </c>
      <c r="G91" s="6"/>
      <c r="H91" s="16" t="s">
        <v>55</v>
      </c>
    </row>
    <row r="92" spans="1:8" ht="19.5" customHeight="1" x14ac:dyDescent="0.25">
      <c r="A92" s="2" t="s">
        <v>99</v>
      </c>
      <c r="B92" s="15">
        <v>0</v>
      </c>
      <c r="C92" s="4" t="s">
        <v>10</v>
      </c>
      <c r="D92" s="4" t="s">
        <v>10</v>
      </c>
      <c r="E92" s="5" t="s">
        <v>11</v>
      </c>
      <c r="F92" s="6" t="s">
        <v>12</v>
      </c>
      <c r="G92" s="6"/>
      <c r="H92" s="16" t="s">
        <v>55</v>
      </c>
    </row>
    <row r="93" spans="1:8" x14ac:dyDescent="0.25">
      <c r="A93" s="8" t="s">
        <v>100</v>
      </c>
      <c r="B93" s="9">
        <v>0</v>
      </c>
      <c r="C93" s="10" t="s">
        <v>19</v>
      </c>
      <c r="D93" s="10" t="s">
        <v>19</v>
      </c>
      <c r="E93" s="10" t="s">
        <v>20</v>
      </c>
      <c r="F93" s="12" t="str">
        <f>CONCATENATE(ROUND(SUM(F90:F92)/8,0)," dias")</f>
        <v>0 dias</v>
      </c>
      <c r="G93" s="12"/>
      <c r="H93" s="13"/>
    </row>
    <row r="94" spans="1:8" x14ac:dyDescent="0.25">
      <c r="A94" s="29" t="s">
        <v>101</v>
      </c>
      <c r="B94" s="25">
        <v>0</v>
      </c>
      <c r="C94" s="28"/>
      <c r="D94" s="28"/>
      <c r="E94" s="27"/>
      <c r="F94" s="28"/>
      <c r="G94" s="28"/>
      <c r="H94" s="27"/>
    </row>
    <row r="95" spans="1:8" ht="30" x14ac:dyDescent="0.25">
      <c r="A95" s="2" t="s">
        <v>102</v>
      </c>
      <c r="B95" s="15">
        <v>0</v>
      </c>
      <c r="C95" s="4" t="s">
        <v>10</v>
      </c>
      <c r="D95" s="4" t="s">
        <v>10</v>
      </c>
      <c r="E95" s="5" t="s">
        <v>11</v>
      </c>
      <c r="F95" s="6" t="s">
        <v>12</v>
      </c>
      <c r="G95" s="6"/>
      <c r="H95" s="16" t="s">
        <v>55</v>
      </c>
    </row>
    <row r="96" spans="1:8" x14ac:dyDescent="0.25">
      <c r="A96" s="2" t="s">
        <v>103</v>
      </c>
      <c r="B96" s="15">
        <v>0</v>
      </c>
      <c r="C96" s="4" t="s">
        <v>10</v>
      </c>
      <c r="D96" s="4" t="s">
        <v>10</v>
      </c>
      <c r="E96" s="5" t="s">
        <v>11</v>
      </c>
      <c r="F96" s="6" t="s">
        <v>12</v>
      </c>
      <c r="G96" s="6"/>
      <c r="H96" s="16" t="s">
        <v>55</v>
      </c>
    </row>
    <row r="97" spans="1:8" x14ac:dyDescent="0.25">
      <c r="A97" s="2" t="s">
        <v>104</v>
      </c>
      <c r="B97" s="15">
        <v>0</v>
      </c>
      <c r="C97" s="4" t="s">
        <v>10</v>
      </c>
      <c r="D97" s="4" t="s">
        <v>10</v>
      </c>
      <c r="E97" s="5" t="s">
        <v>11</v>
      </c>
      <c r="F97" s="6" t="s">
        <v>12</v>
      </c>
      <c r="G97" s="6"/>
      <c r="H97" s="16" t="s">
        <v>55</v>
      </c>
    </row>
    <row r="98" spans="1:8" x14ac:dyDescent="0.25">
      <c r="A98" s="8" t="s">
        <v>105</v>
      </c>
      <c r="B98" s="9">
        <v>0</v>
      </c>
      <c r="C98" s="10" t="s">
        <v>19</v>
      </c>
      <c r="D98" s="10" t="s">
        <v>19</v>
      </c>
      <c r="E98" s="10" t="s">
        <v>20</v>
      </c>
      <c r="F98" s="12" t="str">
        <f>CONCATENATE(ROUND(SUM(F95:F97)/8,0)," dias")</f>
        <v>0 dias</v>
      </c>
      <c r="G98" s="12"/>
      <c r="H98" s="13"/>
    </row>
    <row r="99" spans="1:8" x14ac:dyDescent="0.25">
      <c r="A99" s="29" t="s">
        <v>106</v>
      </c>
      <c r="B99" s="25">
        <v>0</v>
      </c>
      <c r="C99" s="28"/>
      <c r="D99" s="28"/>
      <c r="E99" s="27"/>
      <c r="F99" s="28"/>
      <c r="G99" s="28"/>
      <c r="H99" s="27"/>
    </row>
    <row r="100" spans="1:8" ht="30" x14ac:dyDescent="0.25">
      <c r="A100" s="2" t="s">
        <v>107</v>
      </c>
      <c r="B100" s="15">
        <v>0</v>
      </c>
      <c r="C100" s="4" t="s">
        <v>10</v>
      </c>
      <c r="D100" s="4" t="s">
        <v>10</v>
      </c>
      <c r="E100" s="5" t="s">
        <v>11</v>
      </c>
      <c r="F100" s="6" t="s">
        <v>12</v>
      </c>
      <c r="G100" s="6"/>
      <c r="H100" s="16" t="s">
        <v>55</v>
      </c>
    </row>
    <row r="101" spans="1:8" x14ac:dyDescent="0.25">
      <c r="A101" s="2" t="s">
        <v>108</v>
      </c>
      <c r="B101" s="15">
        <v>0</v>
      </c>
      <c r="C101" s="4" t="s">
        <v>10</v>
      </c>
      <c r="D101" s="4" t="s">
        <v>10</v>
      </c>
      <c r="E101" s="5" t="s">
        <v>11</v>
      </c>
      <c r="F101" s="6" t="s">
        <v>12</v>
      </c>
      <c r="G101" s="6"/>
      <c r="H101" s="16" t="s">
        <v>55</v>
      </c>
    </row>
    <row r="102" spans="1:8" x14ac:dyDescent="0.25">
      <c r="A102" s="2" t="s">
        <v>109</v>
      </c>
      <c r="B102" s="15">
        <v>0</v>
      </c>
      <c r="C102" s="4" t="s">
        <v>10</v>
      </c>
      <c r="D102" s="4" t="s">
        <v>10</v>
      </c>
      <c r="E102" s="5" t="s">
        <v>11</v>
      </c>
      <c r="F102" s="6" t="s">
        <v>12</v>
      </c>
      <c r="G102" s="6"/>
      <c r="H102" s="16" t="s">
        <v>55</v>
      </c>
    </row>
    <row r="103" spans="1:8" x14ac:dyDescent="0.25">
      <c r="A103" s="8" t="s">
        <v>110</v>
      </c>
      <c r="B103" s="9">
        <v>0</v>
      </c>
      <c r="C103" s="10" t="s">
        <v>19</v>
      </c>
      <c r="D103" s="10" t="s">
        <v>19</v>
      </c>
      <c r="E103" s="10" t="s">
        <v>20</v>
      </c>
      <c r="F103" s="12" t="str">
        <f>CONCATENATE(ROUND(SUM(F100:F102)/8,0)," dias")</f>
        <v>0 dias</v>
      </c>
      <c r="G103" s="12"/>
      <c r="H103" s="13"/>
    </row>
    <row r="104" spans="1:8" x14ac:dyDescent="0.25">
      <c r="A104" s="29" t="s">
        <v>111</v>
      </c>
      <c r="B104" s="25">
        <v>0</v>
      </c>
      <c r="C104" s="28"/>
      <c r="D104" s="28"/>
      <c r="E104" s="27"/>
      <c r="F104" s="28"/>
      <c r="G104" s="28"/>
      <c r="H104" s="27"/>
    </row>
    <row r="105" spans="1:8" x14ac:dyDescent="0.25">
      <c r="A105" s="2" t="s">
        <v>112</v>
      </c>
      <c r="B105" s="15">
        <v>0</v>
      </c>
      <c r="C105" s="4" t="s">
        <v>10</v>
      </c>
      <c r="D105" s="4" t="s">
        <v>10</v>
      </c>
      <c r="E105" s="5" t="s">
        <v>11</v>
      </c>
      <c r="F105" s="6" t="s">
        <v>12</v>
      </c>
      <c r="G105" s="6"/>
      <c r="H105" s="16" t="s">
        <v>55</v>
      </c>
    </row>
    <row r="106" spans="1:8" x14ac:dyDescent="0.25">
      <c r="A106" s="2" t="s">
        <v>113</v>
      </c>
      <c r="B106" s="15">
        <v>0</v>
      </c>
      <c r="C106" s="4" t="s">
        <v>10</v>
      </c>
      <c r="D106" s="4" t="s">
        <v>10</v>
      </c>
      <c r="E106" s="5" t="s">
        <v>11</v>
      </c>
      <c r="F106" s="6" t="s">
        <v>12</v>
      </c>
      <c r="G106" s="6"/>
      <c r="H106" s="16" t="s">
        <v>55</v>
      </c>
    </row>
    <row r="107" spans="1:8" x14ac:dyDescent="0.25">
      <c r="A107" s="2" t="s">
        <v>114</v>
      </c>
      <c r="B107" s="15">
        <v>0</v>
      </c>
      <c r="C107" s="4" t="s">
        <v>10</v>
      </c>
      <c r="D107" s="4" t="s">
        <v>10</v>
      </c>
      <c r="E107" s="5" t="s">
        <v>11</v>
      </c>
      <c r="F107" s="6" t="s">
        <v>12</v>
      </c>
      <c r="G107" s="6"/>
      <c r="H107" s="16" t="s">
        <v>55</v>
      </c>
    </row>
    <row r="108" spans="1:8" x14ac:dyDescent="0.25">
      <c r="A108" s="8" t="s">
        <v>115</v>
      </c>
      <c r="B108" s="9">
        <v>0</v>
      </c>
      <c r="C108" s="10" t="s">
        <v>19</v>
      </c>
      <c r="D108" s="10" t="s">
        <v>19</v>
      </c>
      <c r="E108" s="10" t="s">
        <v>20</v>
      </c>
      <c r="F108" s="12" t="str">
        <f>CONCATENATE(ROUND(SUM(F105:F107)/8,0)," dias")</f>
        <v>0 dias</v>
      </c>
      <c r="G108" s="12"/>
      <c r="H108" s="13"/>
    </row>
    <row r="109" spans="1:8" x14ac:dyDescent="0.25">
      <c r="A109" s="18" t="s">
        <v>116</v>
      </c>
      <c r="B109" s="9">
        <v>0</v>
      </c>
      <c r="C109" s="10" t="s">
        <v>19</v>
      </c>
      <c r="D109" s="10" t="s">
        <v>19</v>
      </c>
      <c r="E109" s="10"/>
      <c r="F109" s="10"/>
      <c r="G109" s="10"/>
      <c r="H109" s="13"/>
    </row>
  </sheetData>
  <mergeCells count="1">
    <mergeCell ref="A1:H1"/>
  </mergeCells>
  <phoneticPr fontId="8" type="noConversion"/>
  <pageMargins left="0.70866141732283472" right="0.70866141732283472" top="0.74803149606299213" bottom="0.74803149606299213" header="0.31496062992125984" footer="0.31496062992125984"/>
  <pageSetup scale="56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4ea989-45c4-4692-8ce0-f18b793713ec">
      <Terms xmlns="http://schemas.microsoft.com/office/infopath/2007/PartnerControls"/>
    </lcf76f155ced4ddcb4097134ff3c332f>
    <TaxCatchAll xmlns="287fe5b6-b058-44e7-a0f0-827458cd11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743A481F376042BF349B3DA7A5683B" ma:contentTypeVersion="14" ma:contentTypeDescription="Crear nuevo documento." ma:contentTypeScope="" ma:versionID="f6dc2316d7070274b519b3c19f1460ba">
  <xsd:schema xmlns:xsd="http://www.w3.org/2001/XMLSchema" xmlns:xs="http://www.w3.org/2001/XMLSchema" xmlns:p="http://schemas.microsoft.com/office/2006/metadata/properties" xmlns:ns2="244ea989-45c4-4692-8ce0-f18b793713ec" xmlns:ns3="287fe5b6-b058-44e7-a0f0-827458cd112e" targetNamespace="http://schemas.microsoft.com/office/2006/metadata/properties" ma:root="true" ma:fieldsID="69c1d1f58b65d4968f798c6fc8b94cfd" ns2:_="" ns3:_="">
    <xsd:import namespace="244ea989-45c4-4692-8ce0-f18b793713ec"/>
    <xsd:import namespace="287fe5b6-b058-44e7-a0f0-827458cd11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ea989-45c4-4692-8ce0-f18b79371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3cb69001-eedb-48cd-8df6-eca474b208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fe5b6-b058-44e7-a0f0-827458cd112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9de1ca3-1546-427a-8915-ccc6aa814c86}" ma:internalName="TaxCatchAll" ma:showField="CatchAllData" ma:web="287fe5b6-b058-44e7-a0f0-827458cd11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748378-F254-4F34-B813-7FC85BA0A9AB}">
  <ds:schemaRefs>
    <ds:schemaRef ds:uri="http://schemas.microsoft.com/office/2006/metadata/properties"/>
    <ds:schemaRef ds:uri="http://schemas.microsoft.com/office/infopath/2007/PartnerControls"/>
    <ds:schemaRef ds:uri="287fe5b6-b058-44e7-a0f0-827458cd112e"/>
    <ds:schemaRef ds:uri="244ea989-45c4-4692-8ce0-f18b793713ec"/>
    <ds:schemaRef ds:uri="1159a64c-43b6-4626-8649-6a113ec98754"/>
  </ds:schemaRefs>
</ds:datastoreItem>
</file>

<file path=customXml/itemProps2.xml><?xml version="1.0" encoding="utf-8"?>
<ds:datastoreItem xmlns:ds="http://schemas.openxmlformats.org/officeDocument/2006/customXml" ds:itemID="{06C26EE3-85FC-4C63-8DA2-0F74154A47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3AFCAF-485C-4A00-9A10-85B89E57EE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BCS</vt:lpstr>
      <vt:lpstr>'CRONOGRAMA BCS'!Títulos_a_imprimir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DAG</dc:creator>
  <cp:keywords/>
  <dc:description/>
  <cp:lastModifiedBy>Jeimy Johana Lozano Garnica</cp:lastModifiedBy>
  <cp:revision/>
  <dcterms:created xsi:type="dcterms:W3CDTF">2015-06-05T18:19:34Z</dcterms:created>
  <dcterms:modified xsi:type="dcterms:W3CDTF">2025-11-05T15:58:10Z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0x0101001B743A481F376042BF349B3DA7A5683B</vt:lpwstr>
  </property>
  <property fmtid="{D5CDD505-2E9C-101B-9397-08002B2CF9AE}" pid="3" name="MediaServiceImageTags">
    <vt:lpwstr/>
  </property>
</Properties>
</file>